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1" showHorizontalScroll="1" showVerticalScroll="1" showSheetTabs="1" xWindow="0" yWindow="0" windowWidth="28800" windowHeight="12950" tabRatio="600" firstSheet="0" activeTab="1" autoFilterDateGrouping="1"/>
  </bookViews>
  <sheets>
    <sheet name="見積・金額サマリ" sheetId="1" state="visible" r:id="rId1"/>
    <sheet name="詳細見積_マスタと予実比較" sheetId="2" state="visible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" hidden="1">[1]表紙!#REF!</definedName>
    <definedName name="____2_" hidden="1">[2]Sheet1!#REF!</definedName>
    <definedName name="____3" hidden="1">[2]Sheet1!#REF!</definedName>
    <definedName name="___2_" hidden="1">[2]Sheet1!#REF!</definedName>
    <definedName name="__1_" hidden="1">'[3]#REF!'!#REF!</definedName>
    <definedName name="__123Graph_A" hidden="1">[4]契約上棟ｸﾞﾗﾌ!#REF!</definedName>
    <definedName name="__123Graph_A上棟比較" hidden="1">[4]契約上棟ｸﾞﾗﾌ!#REF!</definedName>
    <definedName name="__123Graph_A契約上棟" hidden="1">[4]契約上棟ｸﾞﾗﾌ!#REF!</definedName>
    <definedName name="__123Graph_A契約比較" hidden="1">[4]契約上棟ｸﾞﾗﾌ!#REF!</definedName>
    <definedName name="__123Graph_B" hidden="1">[4]契約上棟ｸﾞﾗﾌ!#REF!</definedName>
    <definedName name="__123Graph_B上棟比較" hidden="1">[4]契約上棟ｸﾞﾗﾌ!#REF!</definedName>
    <definedName name="__123Graph_B契約上棟" hidden="1">[4]契約上棟ｸﾞﾗﾌ!#REF!</definedName>
    <definedName name="__123Graph_B契約比較" hidden="1">[4]契約上棟ｸﾞﾗﾌ!#REF!</definedName>
    <definedName name="__123Graph_C" hidden="1">'[5]13年度発生売上予算'!#REF!</definedName>
    <definedName name="__123Graph_D" hidden="1">'[5]13年度発生売上予算'!#REF!</definedName>
    <definedName name="__123Graph_LBL_A" hidden="1">[4]契約上棟ｸﾞﾗﾌ!#REF!</definedName>
    <definedName name="__123Graph_LBL_A上棟比較" hidden="1">[4]契約上棟ｸﾞﾗﾌ!#REF!</definedName>
    <definedName name="__123Graph_LBL_A契約上棟" hidden="1">[4]契約上棟ｸﾞﾗﾌ!#REF!</definedName>
    <definedName name="__123Graph_LBL_A契約比較" hidden="1">[4]契約上棟ｸﾞﾗﾌ!#REF!</definedName>
    <definedName name="__123Graph_LBL_B" hidden="1">[4]契約上棟ｸﾞﾗﾌ!#REF!</definedName>
    <definedName name="__123Graph_LBL_B上棟比較" hidden="1">[4]契約上棟ｸﾞﾗﾌ!#REF!</definedName>
    <definedName name="__123Graph_LBL_B契約上棟" hidden="1">[4]契約上棟ｸﾞﾗﾌ!#REF!</definedName>
    <definedName name="__123Graph_LBL_B契約比較" hidden="1">[4]契約上棟ｸﾞﾗﾌ!#REF!</definedName>
    <definedName name="__123Graph_X" hidden="1">[4]契約上棟ｸﾞﾗﾌ!#REF!</definedName>
    <definedName name="__123Graph_X上棟比較" hidden="1">[4]契約上棟ｸﾞﾗﾌ!#REF!</definedName>
    <definedName name="__123Graph_X契約上棟" hidden="1">[4]契約上棟ｸﾞﾗﾌ!#REF!</definedName>
    <definedName name="__123Graph_X契約比較" hidden="1">[4]契約上棟ｸﾞﾗﾌ!#REF!</definedName>
    <definedName name="__16_0__123Graph_XCHAR" hidden="1">#REF!</definedName>
    <definedName name="__27_123Graph_BCHAR" hidden="1">#REF!</definedName>
    <definedName name="__36_0__123Graph_BCHAR" hidden="1">#REF!</definedName>
    <definedName name="_1______123Graph_ACHAR" hidden="1">#REF!</definedName>
    <definedName name="_1_____123Graph_ACHART_1" hidden="1">[6]RD9501V!#REF!</definedName>
    <definedName name="_1__123Graph_ACHART_1" hidden="1">[7]RD9501V!#REF!</definedName>
    <definedName name="_1_123Graph_ACHAR" hidden="1">#REF!</definedName>
    <definedName name="_10________123Graph_ACHAR" hidden="1">#REF!</definedName>
    <definedName name="_10______0__123Graph_ACHAR" hidden="1">#REF!</definedName>
    <definedName name="_10______123Graph_ACHAR" hidden="1">#REF!</definedName>
    <definedName name="_10______123Graph_BCHAR" hidden="1">#REF!</definedName>
    <definedName name="_10______123Graph_CCHAR" hidden="1">#REF!</definedName>
    <definedName name="_10____123Graph_ACHART_1" hidden="1">[7]RD9501V!#REF!</definedName>
    <definedName name="_10____123Graph_BCHART_1" hidden="1">[8]RD9501V!#REF!</definedName>
    <definedName name="_10____123Graph_XCHART_1" hidden="1">[9]RD9501V!#REF!</definedName>
    <definedName name="_10___0__123Graph_CCHAR" hidden="1">#N/A</definedName>
    <definedName name="_10___123Graph_BCHART_1" hidden="1">[10]RD9501V!#REF!</definedName>
    <definedName name="_10___123Graph_CCHART_1" hidden="1">[9]RD9501V!#REF!</definedName>
    <definedName name="_10___123Graph_DCHART_1" hidden="1">[9]RD9501V!#REF!</definedName>
    <definedName name="_10___123Graph_XCHART_1" hidden="1">[9]RD9501V!#REF!</definedName>
    <definedName name="_10__123Graph_Aｸﾞﾗﾌ_4" hidden="1">[11]HQ!#REF!</definedName>
    <definedName name="_10__123Graph_BCHART_1" hidden="1">[7]RD9501V!#REF!</definedName>
    <definedName name="_10__123Graph_Bｸﾞﾗﾌ_2" hidden="1">[12]GSV目標!#REF!</definedName>
    <definedName name="_10__123Graph_CCHART_1" hidden="1">[13]RD9501V!#REF!</definedName>
    <definedName name="_10__123Graph_DCHART_1" hidden="1">[14]RD9501V!#REF!</definedName>
    <definedName name="_10__123Graph_XCHART_1" hidden="1">[15]RD9501V!#REF!</definedName>
    <definedName name="_10_0__123Graph_ACHAR" hidden="1">#REF!</definedName>
    <definedName name="_10_0__123Graph_BCHAR" hidden="1">#REF!</definedName>
    <definedName name="_10_0__123Graph_CCHAR" hidden="1">#REF!</definedName>
    <definedName name="_10_0__123Graph_XCHAR" hidden="1">#REF!</definedName>
    <definedName name="_10_123Graph_ACHAR" hidden="1">#REF!</definedName>
    <definedName name="_10_123Graph_BCHAR" hidden="1">#REF!</definedName>
    <definedName name="_10_123Graph_CCHAR" hidden="1">#REF!</definedName>
    <definedName name="_10_123Graph_XCHAR" hidden="1">#REF!</definedName>
    <definedName name="_100____0__123Graph_XCHAR" hidden="1">#REF!</definedName>
    <definedName name="_100___0__123Graph_ACHAR" hidden="1">#REF!</definedName>
    <definedName name="_100___123Graph_Bｸﾞﾗﾌ_2" hidden="1">[12]GSV目標!#REF!</definedName>
    <definedName name="_100___123Graph_DCHART_1" hidden="1">[9]RD9501V!#REF!</definedName>
    <definedName name="_100__123Graph_DCHART_1" hidden="1">#N/A</definedName>
    <definedName name="_100_0__123Graph_BCHAR" hidden="1">#REF!</definedName>
    <definedName name="_100_0__123Graph_CCHAR" hidden="1">#REF!</definedName>
    <definedName name="_101___0__123Graph_CCHAR" hidden="1">#N/A</definedName>
    <definedName name="_101___123Graph_Bｸﾞﾗﾌ_3" hidden="1">[10]HQ!$E$8:$P$8</definedName>
    <definedName name="_102______123Graph_XCHAR" hidden="1">#REF!</definedName>
    <definedName name="_102___123Graph_Bｸﾞﾗﾌ_4" hidden="1">[10]HQ!#REF!</definedName>
    <definedName name="_102__123Graph_Aｸﾞﾗﾌ_4" hidden="1">[12]HQ!#REF!</definedName>
    <definedName name="_102__123Graph_DCHART_1" hidden="1">[7]RD9501V!#REF!</definedName>
    <definedName name="_102__123Graph_XCHART_1" hidden="1">[7]RD9501V!#REF!</definedName>
    <definedName name="_102_0__123Graph_CCHAR" hidden="1">#REF!</definedName>
    <definedName name="_102_123Graph_ACHAR" hidden="1">#REF!</definedName>
    <definedName name="_103_____0__123Graph_DCHAR" hidden="1">#REF!</definedName>
    <definedName name="_103___0__123Graph_DCHAR" hidden="1">#N/A</definedName>
    <definedName name="_103___123Graph_Cｸﾞﾗﾌ_1" hidden="1">[12]GSV目標!$B$6:$M$6</definedName>
    <definedName name="_103__123Graph_ACHART_1" hidden="1">[7]RD9501V!#REF!</definedName>
    <definedName name="_103__123Graph_Cｸﾞﾗﾌ_2" hidden="1">'[16]HE(他）'!#REF!</definedName>
    <definedName name="_104___123Graph_Cｸﾞﾗﾌ_2" hidden="1">[12]GSV目標!#REF!</definedName>
    <definedName name="_104___123Graph_XCHART_1" hidden="1">[9]RD9501V!#REF!</definedName>
    <definedName name="_104__123Graph_Cｸﾞﾗﾌ_3" hidden="1">#REF!</definedName>
    <definedName name="_104_0__123Graph_DCHAR" hidden="1">#REF!</definedName>
    <definedName name="_104_123Graph_BCHAR" hidden="1">#REF!</definedName>
    <definedName name="_104_123Graph_XCHAR" hidden="1">#REF!</definedName>
    <definedName name="_105___0__123Graph_BCHAR" hidden="1">#REF!</definedName>
    <definedName name="_105___0__123Graph_XCHAR" hidden="1">#N/A</definedName>
    <definedName name="_105___123Graph_Cｸﾞﾗﾌ_3" hidden="1">[10]HQ!$E$9:$P$9</definedName>
    <definedName name="_105__123Graph_BCHART_1" hidden="1">[7]RD9501V!#REF!</definedName>
    <definedName name="_105__123Graph_XCHART_1" hidden="1">#N/A</definedName>
    <definedName name="_105__123Graph_Xｸﾞﾗﾌ_2" hidden="1">[8]GSV目標!#REF!</definedName>
    <definedName name="_105_0__123Graph_DCHAR" hidden="1">#REF!</definedName>
    <definedName name="_105_123Graph_XCHAR" hidden="1">#REF!</definedName>
    <definedName name="_106___123Graph_Cｸﾞﾗﾌ_4" hidden="1">[10]HQ!#REF!</definedName>
    <definedName name="_106___123Graph_Xｸﾞﾗﾌ_1" hidden="1">#REF!</definedName>
    <definedName name="_106__123Graph_XCHART_1" hidden="1">#N/A</definedName>
    <definedName name="_106__123Graph_Xｸﾞﾗﾌ_1" hidden="1">'[16]13年度発生売上予算'!$AB$10:$AE$10</definedName>
    <definedName name="_106_0__123Graph_XCHAR" hidden="1">#REF!</definedName>
    <definedName name="_106_123Graph_CCHAR" hidden="1">#REF!</definedName>
    <definedName name="_107_____0__123Graph_XCHAR" hidden="1">#REF!</definedName>
    <definedName name="_107___123Graph_Xｸﾞﾗﾌ_2" hidden="1">[12]GSV目標!#REF!</definedName>
    <definedName name="_107__123Graph_CCHART_1" hidden="1">[7]RD9501V!#REF!</definedName>
    <definedName name="_107__123Graph_Xｸﾞﾗﾌ_1" hidden="1">'[17]13年度発生売上予算'!$AB$10:$AE$10</definedName>
    <definedName name="_107_123Graph_BCHAR" hidden="1">#REF!</definedName>
    <definedName name="_108___123Graph_Xｸﾞﾗﾌ_2" hidden="1">#REF!</definedName>
    <definedName name="_108___123Graph_Xｸﾞﾗﾌ_4" hidden="1">[10]HQ!#REF!</definedName>
    <definedName name="_108__123Graph_XCHART_1" hidden="1">[7]RD9501V!#REF!</definedName>
    <definedName name="_108__123Graph_Xｸﾞﾗﾌ_2" hidden="1">'[15]HE(他）'!#REF!</definedName>
    <definedName name="_108__123Graph_Xｸﾞﾗﾌ_4" hidden="1">[12]HQ!#REF!</definedName>
    <definedName name="_108_123Graph_DCHAR" hidden="1">#REF!</definedName>
    <definedName name="_109__123Graph_Cｸﾞﾗﾌ_4" hidden="1">'[16]HE(他）'!#REF!</definedName>
    <definedName name="_109__123Graph_DCHART_1" hidden="1">[7]RD9501V!#REF!</definedName>
    <definedName name="_109__123Graph_Xｸﾞﾗﾌ_2" hidden="1">[8]GSV目標!#REF!</definedName>
    <definedName name="_109__123Graph_Xｸﾞﾗﾌ_3" hidden="1">'[16]13年度発生売上予算'!$AB$37:$AH$37</definedName>
    <definedName name="_109_0__123Graph_XCHAR" hidden="1">#REF!</definedName>
    <definedName name="_11________123Graph_BCHAR" hidden="1">#REF!</definedName>
    <definedName name="_11______0__123Graph_BCHAR" hidden="1">#REF!</definedName>
    <definedName name="_11______123Graph_ACHAR" hidden="1">#REF!</definedName>
    <definedName name="_11______123Graph_CCHAR" hidden="1">#REF!</definedName>
    <definedName name="_11______123Graph_DCHAR" hidden="1">#REF!</definedName>
    <definedName name="_11_____0__123Graph_ACHAR" hidden="1">#REF!</definedName>
    <definedName name="_11____123Graph_BCHART_1" hidden="1">[7]RD9501V!#REF!</definedName>
    <definedName name="_11____123Graph_CCHART_1" hidden="1">[8]RD9501V!#REF!</definedName>
    <definedName name="_11___0__123Graph_BCHAR" hidden="1">#REF!</definedName>
    <definedName name="_11___0__123Graph_CCHAR" hidden="1">#N/A</definedName>
    <definedName name="_11___123Graph_ACHART_1" hidden="1">[7]RD9501V!#REF!</definedName>
    <definedName name="_11___123Graph_BCHART_1" hidden="1">[9]RD9501V!#REF!</definedName>
    <definedName name="_11___123Graph_XCHART_1" hidden="1">[9]RD9501V!#REF!</definedName>
    <definedName name="_11__123Graph_Aｸﾞﾗﾌ_2" hidden="1">[12]GSV目標!#REF!</definedName>
    <definedName name="_11__123Graph_Bｸﾞﾗﾌ_3" hidden="1">[17]HQ!$E$8:$P$8</definedName>
    <definedName name="_11__123Graph_XCHART_1" hidden="1">[7]RD9501V!#REF!</definedName>
    <definedName name="_11_0__123Graph_ACHAR" hidden="1">#REF!</definedName>
    <definedName name="_11_0__123Graph_BCHAR" hidden="1">#REF!</definedName>
    <definedName name="_11_0__123Graph_CCHAR" hidden="1">#REF!</definedName>
    <definedName name="_11_0__123Graph_DCHAR" hidden="1">#REF!</definedName>
    <definedName name="_11_123Graph_ACHAR" hidden="1">#REF!</definedName>
    <definedName name="_11_123Graph_BChar" hidden="1">#REF!</definedName>
    <definedName name="_11_123Graph_CCHAR" hidden="1">#REF!</definedName>
    <definedName name="_11_123Graph_DCHAR" hidden="1">#REF!</definedName>
    <definedName name="_11_123Graph_XCHAR" hidden="1">#REF!</definedName>
    <definedName name="_110____0__123Graph_ACHAR" hidden="1">#REF!</definedName>
    <definedName name="_110___0__123Graph_CCHAR" hidden="1">#REF!</definedName>
    <definedName name="_110___123Graph_ACHART_1" hidden="1">[9]RD9501V!#REF!</definedName>
    <definedName name="_110___123Graph_Xｸﾞﾗﾌ_3" hidden="1">#REF!</definedName>
    <definedName name="_110__123Graph_Xｸﾞﾗﾌ_4" hidden="1">[12]HQ!#REF!</definedName>
    <definedName name="_110_0__123Graph_XCHAR" hidden="1">#REF!</definedName>
    <definedName name="_110_123Graph_XCHAR" hidden="1">#REF!</definedName>
    <definedName name="_111______123Graph_ACHAR" hidden="1">#REF!</definedName>
    <definedName name="_111____0__123Graph_BCHAR" hidden="1">#REF!</definedName>
    <definedName name="_111__123Graph_XCHART_1" hidden="1">[7]RD9501V!#REF!</definedName>
    <definedName name="_111__123Graph_Xｸﾞﾗﾌ_4" hidden="1">'[15]HE(他）'!#REF!</definedName>
    <definedName name="_112____0__123Graph_CCHAR" hidden="1">#REF!</definedName>
    <definedName name="_112__123Graph_BCHART_1" hidden="1">[7]RD9501V!#REF!</definedName>
    <definedName name="_112_0__123Graph_ACHAR" hidden="1">#REF!</definedName>
    <definedName name="_113____0__123Graph_DCHAR" hidden="1">#REF!</definedName>
    <definedName name="_113___0__123Graph_ACHAR" hidden="1">#REF!</definedName>
    <definedName name="_113__123Graph_Bｸﾞﾗﾌ_1" hidden="1">[8]GSV目標!$B$5:$M$5</definedName>
    <definedName name="_114____0__123Graph_XCHAR" hidden="1">#REF!</definedName>
    <definedName name="_114___0__123Graph_ACHAR" hidden="1">#N/A</definedName>
    <definedName name="_114___0__123Graph_BCHAR" hidden="1">#REF!</definedName>
    <definedName name="_114_0__123Graph_ACHAR" hidden="1">#REF!</definedName>
    <definedName name="_114_123Graph_DCHAR" hidden="1">#REF!</definedName>
    <definedName name="_115____0__123Graph_ACHAR" hidden="1">#REF!</definedName>
    <definedName name="_115___0__123Graph_CCHAR" hidden="1">#REF!</definedName>
    <definedName name="_115___0__123Graph_DCHAR" hidden="1">#REF!</definedName>
    <definedName name="_115__123Graph_DCHART_1" hidden="1">#N/A</definedName>
    <definedName name="_116___0__123Graph_DCHAR" hidden="1">#REF!</definedName>
    <definedName name="_116___123Graph_ACHART_1" hidden="1">[18]RD9501V!#REF!</definedName>
    <definedName name="_116_0__123Graph_BCHAR" hidden="1">#REF!</definedName>
    <definedName name="_117___0__123Graph_BCHAR" hidden="1">#N/A</definedName>
    <definedName name="_117___0__123Graph_XCHAR" hidden="1">#REF!</definedName>
    <definedName name="_117___123Graph_Aｸﾞﾗﾌ_1" hidden="1">'[17]13年度発生売上予算'!$AB$11:$AE$11</definedName>
    <definedName name="_117_0__123Graph_BCHAR" hidden="1">#REF!</definedName>
    <definedName name="_118____0__123Graph_BCHAR" hidden="1">#REF!</definedName>
    <definedName name="_118___0__123Graph_BCHAR" hidden="1">#REF!</definedName>
    <definedName name="_118___123Graph_Aｸﾞﾗﾌ_2" hidden="1">'[17]13年度発生売上予算'!$AB$20:$AJ$20</definedName>
    <definedName name="_118__123Graph_Bｸﾞﾗﾌ_2" hidden="1">[8]GSV目標!#REF!</definedName>
    <definedName name="_119___123Graph_Aｸﾞﾗﾌ_3" hidden="1">'[17]13年度発生売上予算'!$AB$38:$AH$38</definedName>
    <definedName name="_119___123Graph_BCHART_1" hidden="1">[9]RD9501V!#REF!</definedName>
    <definedName name="_119__123Graph_Bｸﾞﾗﾌ_3" hidden="1">[12]HQ!$E$8:$P$8</definedName>
    <definedName name="_12________123Graph_CCHAR" hidden="1">#REF!</definedName>
    <definedName name="_12______0__123Graph_CCHAR" hidden="1">#REF!</definedName>
    <definedName name="_12______123Graph_BCHAR" hidden="1">#REF!</definedName>
    <definedName name="_12______123Graph_CCHAR" hidden="1">#REF!</definedName>
    <definedName name="_12______123Graph_XCHAR" hidden="1">#REF!</definedName>
    <definedName name="_12_____0__123Graph_BCHAR" hidden="1">#REF!</definedName>
    <definedName name="_12____123Graph_CCHART_1" hidden="1">[7]RD9501V!#REF!</definedName>
    <definedName name="_12____123Graph_DCHART_1" hidden="1">[8]RD9501V!#REF!</definedName>
    <definedName name="_12___0__123Graph_DCHAR" hidden="1">#N/A</definedName>
    <definedName name="_12___123Graph_ACHART_1" hidden="1">[7]RD9501V!#REF!</definedName>
    <definedName name="_12___123Graph_CCHART_1" hidden="1">[9]RD9501V!#REF!</definedName>
    <definedName name="_12___123Graph_DCHART_1" hidden="1">[9]RD9501V!#REF!</definedName>
    <definedName name="_12__123Graph_ACHART_1" hidden="1">[7]RD9501V!#REF!</definedName>
    <definedName name="_12__123Graph_Aｸﾞﾗﾌ_3" hidden="1">[19]HQ!$E$7:$P$7</definedName>
    <definedName name="_12__123Graph_BCHART_1" hidden="1">[8]RD9501V!#REF!</definedName>
    <definedName name="_12__123Graph_BChart_2" hidden="1">#REF!</definedName>
    <definedName name="_12__123Graph_Bｸﾞﾗﾌ_4" hidden="1">[17]HQ!#REF!</definedName>
    <definedName name="_12__123Graph_CCHART_1" hidden="1">[20]RD9501V!#REF!</definedName>
    <definedName name="_12__123Graph_DCHART_1" hidden="1">[13]RD9501V!#REF!</definedName>
    <definedName name="_12__123Graph_XCHART_1" hidden="1">[14]RD9501V!#REF!</definedName>
    <definedName name="_12_0__123Graph_ACHAR" hidden="1">#REF!</definedName>
    <definedName name="_12_0__123Graph_BCHAR" hidden="1">#REF!</definedName>
    <definedName name="_12_0__123Graph_CCHAR" hidden="1">#REF!</definedName>
    <definedName name="_12_0__123Graph_XCHAR" hidden="1">#REF!</definedName>
    <definedName name="_12_123Graph_ACHAR" hidden="1">#REF!</definedName>
    <definedName name="_12_123Graph_CCHAR" hidden="1">#REF!</definedName>
    <definedName name="_120___0__123Graph_CCHAR" hidden="1">#N/A</definedName>
    <definedName name="_120___0__123Graph_XCHAR" hidden="1">#REF!</definedName>
    <definedName name="_120_0__123Graph_ACHAR" hidden="1">#REF!</definedName>
    <definedName name="_120_0__123Graph_CCHAR" hidden="1">#REF!</definedName>
    <definedName name="_120_123Graph_XCHAR" hidden="1">#REF!</definedName>
    <definedName name="_121____0__123Graph_CCHAR" hidden="1">#REF!</definedName>
    <definedName name="_121___0__123Graph_ACHAR" hidden="1">#REF!</definedName>
    <definedName name="_121__123Graph_XCHART_1" hidden="1">#N/A</definedName>
    <definedName name="_121_0__123Graph_BCHAR" hidden="1">#REF!</definedName>
    <definedName name="_122___0__123Graph_ACHAR" hidden="1">#REF!</definedName>
    <definedName name="_122___0__123Graph_CCHAR" hidden="1">#REF!</definedName>
    <definedName name="_122__123Graph_Xｸﾞﾗﾌ_1" hidden="1">'[17]13年度発生売上予算'!$AB$10:$AE$10</definedName>
    <definedName name="_122_0__123Graph_CCHAR" hidden="1">#REF!</definedName>
    <definedName name="_123______123Graph_BCHAR" hidden="1">#REF!</definedName>
    <definedName name="_123___0__123Graph_DCHAR" hidden="1">#N/A</definedName>
    <definedName name="_123_0__123Graph_DCHAR" hidden="1">#REF!</definedName>
    <definedName name="_123Graph_Aｸﾞﾗﾌ2" hidden="1">[21]A!$AB$11:$AE$11</definedName>
    <definedName name="_124____0__123Graph_DCHAR" hidden="1">#REF!</definedName>
    <definedName name="_124__123Graph_Bｸﾞﾗﾌ_4" hidden="1">[12]HQ!#REF!</definedName>
    <definedName name="_124_0__123Graph_DCHAR" hidden="1">#REF!</definedName>
    <definedName name="_124_0__123Graph_XCHAR" hidden="1">#REF!</definedName>
    <definedName name="_126___0__123Graph_DCHAR" hidden="1">#REF!</definedName>
    <definedName name="_126___0__123Graph_XCHAR" hidden="1">#N/A</definedName>
    <definedName name="_126_0__123Graph_XCHAR" hidden="1">#REF!</definedName>
    <definedName name="_127____0__123Graph_XCHAR" hidden="1">#REF!</definedName>
    <definedName name="_127__123Graph_Xｸﾞﾗﾌ_2" hidden="1">'[16]HE(他）'!#REF!</definedName>
    <definedName name="_128___123Graph_BCHART_1" hidden="1">[18]RD9501V!#REF!</definedName>
    <definedName name="_128___123Graph_CCHART_1" hidden="1">[9]RD9501V!#REF!</definedName>
    <definedName name="_128__123Graph_Xｸﾞﾗﾌ_3" hidden="1">'[17]13年度発生売上予算'!$AB$37:$AH$37</definedName>
    <definedName name="_128_0__123Graph_XCHAR" hidden="1">#REF!</definedName>
    <definedName name="_129___123Graph_Bｸﾞﾗﾌ_1" hidden="1">'[17]13年度発生売上予算'!$AO$10:$AO$13</definedName>
    <definedName name="_129_123Graph_CCHAR" hidden="1">#REF!</definedName>
    <definedName name="_13________123Graph_DCHAR" hidden="1">#REF!</definedName>
    <definedName name="_13______0__123Graph_DCHAR" hidden="1">#REF!</definedName>
    <definedName name="_13______123Graph_BCHAR" hidden="1">#REF!</definedName>
    <definedName name="_13______123Graph_DCHAR" hidden="1">#REF!</definedName>
    <definedName name="_13______123Graph_XCHAR" hidden="1">#REF!</definedName>
    <definedName name="_13_____0__123Graph_CCHAR" hidden="1">#REF!</definedName>
    <definedName name="_13____123Graph_DCHART_1" hidden="1">[7]RD9501V!#REF!</definedName>
    <definedName name="_13____123Graph_XCHART_1" hidden="1">[8]RD9501V!#REF!</definedName>
    <definedName name="_13___0__123Graph_CCHAR" hidden="1">#REF!</definedName>
    <definedName name="_13___0__123Graph_DCHAR" hidden="1">#N/A</definedName>
    <definedName name="_13___123Graph_BCHART_1" hidden="1">[7]RD9501V!#REF!</definedName>
    <definedName name="_13___123Graph_CCHART_1" hidden="1">[9]RD9501V!#REF!</definedName>
    <definedName name="_13__123Graph_Aｸﾞﾗﾌ_1" hidden="1">'[16]13年度発生売上予算'!$AB$11:$AE$11</definedName>
    <definedName name="_13__123Graph_BChart_3" hidden="1">#REF!</definedName>
    <definedName name="_13__123Graph_Bｸﾞﾗﾌ_1" hidden="1">[12]GSV目標!$B$5:$M$5</definedName>
    <definedName name="_13__123Graph_CCHART_1" hidden="1">[8]RD9501V!#REF!</definedName>
    <definedName name="_13_0__123Graph_ACHAR" hidden="1">#REF!</definedName>
    <definedName name="_13_0__123Graph_BCHAR" hidden="1">#REF!</definedName>
    <definedName name="_13_0__123Graph_CCHAR" hidden="1">#REF!</definedName>
    <definedName name="_13_0__123Graph_DCHAR" hidden="1">#REF!</definedName>
    <definedName name="_13_123Graph_BCHAR" hidden="1">#REF!</definedName>
    <definedName name="_13_123Graph_DCHAR" hidden="1">#REF!</definedName>
    <definedName name="_13_123Graph_XCHAR" hidden="1">#REF!</definedName>
    <definedName name="_130___0__123Graph_XCHAR" hidden="1">#REF!</definedName>
    <definedName name="_130___123Graph_Bｸﾞﾗﾌ_2" hidden="1">'[17]13年度発生売上予算'!$AO$24:$AO$32</definedName>
    <definedName name="_130_0__123Graph_ACHAR" hidden="1">#REF!</definedName>
    <definedName name="_131___123Graph_Bｸﾞﾗﾌ_3" hidden="1">'[17]13年度発生売上予算'!$AO$38:$AO$44</definedName>
    <definedName name="_131_123Graph_ACHAR" hidden="1">#REF!</definedName>
    <definedName name="_133___0__123Graph_BCHAR" hidden="1">#REF!</definedName>
    <definedName name="_133__123Graph_ACHART_1" hidden="1">#N/A</definedName>
    <definedName name="_133__123Graph_Xｸﾞﾗﾌ_4" hidden="1">'[16]HE(他）'!#REF!</definedName>
    <definedName name="_134___0__123Graph_ACHAR" hidden="1">#N/A</definedName>
    <definedName name="_134___0__123Graph_BCHAR" hidden="1">#REF!</definedName>
    <definedName name="_134__123Graph_CCHART_1" hidden="1">[7]RD9501V!#REF!</definedName>
    <definedName name="_135______123Graph_CCHAR" hidden="1">#REF!</definedName>
    <definedName name="_135___0__123Graph_BCHAR" hidden="1">#N/A</definedName>
    <definedName name="_135__123Graph_Aｸﾞﾗﾌ_1" hidden="1">'[16]13年度発生売上予算'!$AB$11:$AE$11</definedName>
    <definedName name="_135__123Graph_Cｸﾞﾗﾌ_1" hidden="1">[8]GSV目標!$B$6:$M$6</definedName>
    <definedName name="_135_0__123Graph_BCHAR" hidden="1">#REF!</definedName>
    <definedName name="_136___0__123Graph_CCHAR" hidden="1">#N/A</definedName>
    <definedName name="_137___0__123Graph_DCHAR" hidden="1">#N/A</definedName>
    <definedName name="_137___123Graph_DCHART_1" hidden="1">[9]RD9501V!#REF!</definedName>
    <definedName name="_137__123Graph_Aｸﾞﾗﾌ_2" hidden="1">'[16]13年度発生売上予算'!$AB$20:$AJ$20</definedName>
    <definedName name="_138___0__123Graph_XCHAR" hidden="1">#N/A</definedName>
    <definedName name="_138_0__123Graph_ACHAR" hidden="1">#REF!</definedName>
    <definedName name="_139__123Graph_Aｸﾞﾗﾌ_3" hidden="1">'[16]13年度発生売上予算'!$AB$38:$AH$38</definedName>
    <definedName name="_14_" hidden="1">#REF!</definedName>
    <definedName name="_14________123Graph_XCHAR" hidden="1">#REF!</definedName>
    <definedName name="_14______0__123Graph_XCHAR" hidden="1">#REF!</definedName>
    <definedName name="_14______123Graph_ACHAR" hidden="1">#REF!</definedName>
    <definedName name="_14______123Graph_BCHAR" hidden="1">#REF!</definedName>
    <definedName name="_14______123Graph_CCHAR" hidden="1">#REF!</definedName>
    <definedName name="_14______123Graph_DCHAR" hidden="1">#REF!</definedName>
    <definedName name="_14_____0__123Graph_ACHAR" hidden="1">#REF!</definedName>
    <definedName name="_14_____0__123Graph_DCHAR" hidden="1">#REF!</definedName>
    <definedName name="_14____123Graph_XCHART_1" hidden="1">[7]RD9501V!#REF!</definedName>
    <definedName name="_14___0__123Graph_XCHAR" hidden="1">#N/A</definedName>
    <definedName name="_14___123Graph_BCHART_1" hidden="1">[7]RD9501V!#REF!</definedName>
    <definedName name="_14___123Graph_DCHART_1" hidden="1">[10]RD9501V!#REF!</definedName>
    <definedName name="_14___123Graph_XCHART_1" hidden="1">[9]RD9501V!#REF!</definedName>
    <definedName name="_14__123Graph_Aｸﾞﾗﾌ_2" hidden="1">'[16]13年度発生売上予算'!$AB$20:$AJ$20</definedName>
    <definedName name="_14__123Graph_Aｸﾞﾗﾌ_4" hidden="1">[19]HQ!#REF!</definedName>
    <definedName name="_14__123Graph_BCHART_1" hidden="1">[7]RD9501V!#REF!</definedName>
    <definedName name="_14__123Graph_BChart_4" hidden="1">#REF!</definedName>
    <definedName name="_14__123Graph_Bｸﾞﾗﾌ_2" hidden="1">[12]GSV目標!#REF!</definedName>
    <definedName name="_14__123Graph_CCHART_1" hidden="1">[7]RD9501V!#REF!</definedName>
    <definedName name="_14__123Graph_Cｸﾞﾗﾌ_1" hidden="1">[12]GSV目標!$B$6:$M$6</definedName>
    <definedName name="_14__123Graph_DCHART_1" hidden="1">[15]RD9501V!#REF!</definedName>
    <definedName name="_14__123Graph_XCHART_1" hidden="1">[13]RD9501V!#REF!</definedName>
    <definedName name="_14_0__123Graph_ACHAR" hidden="1">#REF!</definedName>
    <definedName name="_14_0__123Graph_BCHAR" hidden="1">#REF!</definedName>
    <definedName name="_14_0__123Graph_CCHAR" hidden="1">#REF!</definedName>
    <definedName name="_14_0__123Graph_DCHAR" hidden="1">#REF!</definedName>
    <definedName name="_14_0__123Graph_XCHAR" hidden="1">#REF!</definedName>
    <definedName name="_14_123Graph_ACHAR" hidden="1">#REF!</definedName>
    <definedName name="_14_123Graph_BCHAR" hidden="1">#REF!</definedName>
    <definedName name="_14_123Graph_CCHAR" hidden="1">#REF!</definedName>
    <definedName name="_14_123Graph_DCHAR" hidden="1">#REF!</definedName>
    <definedName name="_140___123Graph_CCHART_1" hidden="1">[18]RD9501V!#REF!</definedName>
    <definedName name="_140__123Graph_Cｸﾞﾗﾌ_2" hidden="1">[8]GSV目標!#REF!</definedName>
    <definedName name="_140_0__123Graph_CCHAR" hidden="1">#REF!</definedName>
    <definedName name="_141__123Graph_Aｸﾞﾗﾌ_4" hidden="1">[8]HQ!#REF!</definedName>
    <definedName name="_141__123Graph_Cｸﾞﾗﾌ_3" hidden="1">[12]HQ!$E$9:$P$9</definedName>
    <definedName name="_142_0__123Graph_BCHAR" hidden="1">#REF!</definedName>
    <definedName name="_143_123Graph_BCHAR" hidden="1">#REF!</definedName>
    <definedName name="_144______123Graph_DCHAR" hidden="1">#REF!</definedName>
    <definedName name="_144_0__123Graph_ACHAR" hidden="1">#REF!</definedName>
    <definedName name="_145___0__123Graph_CCHAR" hidden="1">#REF!</definedName>
    <definedName name="_145__123Graph_BCHART_1" hidden="1">#N/A</definedName>
    <definedName name="_145_0__123Graph_ACHAR" hidden="1">#REF!</definedName>
    <definedName name="_145_0__123Graph_DCHAR" hidden="1">#REF!</definedName>
    <definedName name="_146___0__123Graph_CCHAR" hidden="1">#REF!</definedName>
    <definedName name="_146___123Graph_XCHART_1" hidden="1">[9]RD9501V!#REF!</definedName>
    <definedName name="_146__123Graph_Cｸﾞﾗﾌ_4" hidden="1">[12]HQ!#REF!</definedName>
    <definedName name="_146_0__123Graph_CCHAR" hidden="1">#REF!</definedName>
    <definedName name="_147__123Graph_Bｸﾞﾗﾌ_1" hidden="1">'[16]13年度発生売上予算'!$AO$10:$AO$13</definedName>
    <definedName name="_149___123Graph_DCHART_1" hidden="1">[18]RD9501V!#REF!</definedName>
    <definedName name="_149__123Graph_Bｸﾞﾗﾌ_2" hidden="1">'[16]13年度発生売上予算'!$AO$24:$AO$32</definedName>
    <definedName name="_15_" hidden="1">#REF!</definedName>
    <definedName name="_15_______123Graph_ACHAR" hidden="1">#REF!</definedName>
    <definedName name="_15______123Graph_BCHAR" hidden="1">#REF!</definedName>
    <definedName name="_15______123Graph_CCHAR" hidden="1">#REF!</definedName>
    <definedName name="_15______123Graph_XCHAR" hidden="1">#REF!</definedName>
    <definedName name="_15_____0__123Graph_ACHAR" hidden="1">#REF!</definedName>
    <definedName name="_15_____0__123Graph_BCHAR" hidden="1">#REF!</definedName>
    <definedName name="_15_____0__123Graph_XCHAR" hidden="1">#REF!</definedName>
    <definedName name="_15____123Graph_ACHART_1" hidden="1">[22]RD9501V!#REF!</definedName>
    <definedName name="_15___0__123Graph_DCHAR" hidden="1">#REF!</definedName>
    <definedName name="_15___0__123Graph_XCHAR" hidden="1">#N/A</definedName>
    <definedName name="_15___123Graph_CCHART_1" hidden="1">[7]RD9501V!#REF!</definedName>
    <definedName name="_15___123Graph_DCHART_1" hidden="1">[9]RD9501V!#REF!</definedName>
    <definedName name="_15__123Graph_Aｸﾞﾗﾌ_3" hidden="1">'[16]13年度発生売上予算'!$AB$38:$AH$38</definedName>
    <definedName name="_15__123Graph_Bｸﾞﾗﾌ_3" hidden="1">[11]HQ!$E$8:$P$8</definedName>
    <definedName name="_15__123Graph_CCHART_1" hidden="1">[7]RD9501V!#REF!</definedName>
    <definedName name="_15__123Graph_Cｸﾞﾗﾌ_2" hidden="1">[12]GSV目標!#REF!</definedName>
    <definedName name="_15__123Graph_DCHART_1" hidden="1">[23]RD9501V!#REF!</definedName>
    <definedName name="_15_0__123Graph_ACHAR" hidden="1">#REF!</definedName>
    <definedName name="_15_0__123Graph_CCHAR" hidden="1">#REF!</definedName>
    <definedName name="_15_0__123Graph_DCHAR" hidden="1">#REF!</definedName>
    <definedName name="_15_0__123Graph_XCHAR" hidden="1">#REF!</definedName>
    <definedName name="_15_123Graph_ACHAR" hidden="1">#REF!</definedName>
    <definedName name="_15_123Graph_CCHAR" hidden="1">#REF!</definedName>
    <definedName name="_15_123Graph_XCHAR" hidden="1">#REF!</definedName>
    <definedName name="_150_0__123Graph_BCHAR" hidden="1">#REF!</definedName>
    <definedName name="_150_0__123Graph_DCHAR" hidden="1">#REF!</definedName>
    <definedName name="_150_0__123Graph_XCHAR" hidden="1">#REF!</definedName>
    <definedName name="_151__123Graph_Bｸﾞﾗﾌ_3" hidden="1">'[16]13年度発生売上予算'!$AO$38:$AO$44</definedName>
    <definedName name="_151_123Graph_DCHAR" hidden="1">#REF!</definedName>
    <definedName name="_153______123Graph_XCHAR" hidden="1">#REF!</definedName>
    <definedName name="_153__123Graph_Bｸﾞﾗﾌ_4" hidden="1">[8]HQ!#REF!</definedName>
    <definedName name="_154_0__123Graph_XCHAR" hidden="1">#REF!</definedName>
    <definedName name="_155__123Graph_ACHART_1" hidden="1">[7]RD9501V!#REF!</definedName>
    <definedName name="_155_0__123Graph_CCHAR" hidden="1">#REF!</definedName>
    <definedName name="_155_123Graph_CCHAR" hidden="1">#REF!</definedName>
    <definedName name="_156__123Graph_Aｸﾞﾗﾌ_1" hidden="1">'[15]HE(他）'!$B$4:$M$4</definedName>
    <definedName name="_156__123Graph_DCHART_1" hidden="1">[7]RD9501V!#REF!</definedName>
    <definedName name="_156_0__123Graph_CCHAR" hidden="1">#REF!</definedName>
    <definedName name="_157___0__123Graph_DCHAR" hidden="1">#REF!</definedName>
    <definedName name="_157__123Graph_CCHART_1" hidden="1">#N/A</definedName>
    <definedName name="_158___0__123Graph_DCHAR" hidden="1">#REF!</definedName>
    <definedName name="_158___123Graph_XCHART_1" hidden="1">[18]RD9501V!#REF!</definedName>
    <definedName name="_158__123Graph_Cｸﾞﾗﾌ_1" hidden="1">[24]GSV目標!$B$6:$M$6</definedName>
    <definedName name="_159___123Graph_Xｸﾞﾗﾌ_1" hidden="1">'[17]13年度発生売上予算'!$AB$10:$AE$10</definedName>
    <definedName name="_16_______123Graph_BCHAR" hidden="1">#REF!</definedName>
    <definedName name="_16______123Graph_DCHAR" hidden="1">#REF!</definedName>
    <definedName name="_16______123Graph_XCHAR" hidden="1">#REF!</definedName>
    <definedName name="_16_____0__123Graph_ACHAR" hidden="1">#REF!</definedName>
    <definedName name="_16_____0__123Graph_CCHAR" hidden="1">#REF!</definedName>
    <definedName name="_16____123Graph_BCHART_1" hidden="1">[22]RD9501V!#REF!</definedName>
    <definedName name="_16___123Graph_ACHART_1" hidden="1">[25]RD9501V!#REF!</definedName>
    <definedName name="_16___123Graph_Aｸﾞﾗﾌ_1" hidden="1">[8]GSV目標!$B$4:$M$4</definedName>
    <definedName name="_16___123Graph_BCHART_1" hidden="1">[17]RD9501V!#REF!</definedName>
    <definedName name="_16___123Graph_CCHART_1" hidden="1">[7]RD9501V!#REF!</definedName>
    <definedName name="_16___123Graph_DCHART_1" hidden="1">[9]RD9501V!#REF!</definedName>
    <definedName name="_16___123Graph_XCHART_1" hidden="1">[10]RD9501V!#REF!</definedName>
    <definedName name="_16__123Graph_ACHART_1" hidden="1">#N/A</definedName>
    <definedName name="_16__123Graph_Aｸﾞﾗﾌ_4" hidden="1">[12]HQ!#REF!</definedName>
    <definedName name="_16__123Graph_BCHART_1" hidden="1">[24]RD9501V!#REF!</definedName>
    <definedName name="_16__123Graph_Bｸﾞﾗﾌ_4" hidden="1">[11]HQ!#REF!</definedName>
    <definedName name="_16__123Graph_CCHART_1" hidden="1">[7]RD9501V!#REF!</definedName>
    <definedName name="_16__123Graph_CChart_2" hidden="1">#REF!</definedName>
    <definedName name="_16__123Graph_Cｸﾞﾗﾌ_3" hidden="1">[17]HQ!$E$9:$P$9</definedName>
    <definedName name="_16__123Graph_DCHART_1" hidden="1">[20]RD9501V!#REF!</definedName>
    <definedName name="_16__123Graph_XCHART_1" hidden="1">[15]RD9501V!#REF!</definedName>
    <definedName name="_16_0__123Graph_ACHAR" hidden="1">#REF!</definedName>
    <definedName name="_16_0__123Graph_BCHAR" hidden="1">#REF!</definedName>
    <definedName name="_16_0__123Graph_DCHAR" hidden="1">#REF!</definedName>
    <definedName name="_16_0__123Graph_XCHAR" hidden="1">#REF!</definedName>
    <definedName name="_16_123Graph_BCHAR" hidden="1">#REF!</definedName>
    <definedName name="_16_123Graph_DCHAR" hidden="1">#REF!</definedName>
    <definedName name="_16_123Graph_XCHAR" hidden="1">'[23]#REF'!#REF!</definedName>
    <definedName name="_160___123Graph_Xｸﾞﾗﾌ_2" hidden="1">'[17]13年度発生売上予算'!$AB$19:$AJ$19</definedName>
    <definedName name="_160__123Graph_Cｸﾞﾗﾌ_2" hidden="1">[24]GSV目標!#REF!</definedName>
    <definedName name="_160_0__123Graph_DCHAR" hidden="1">#REF!</definedName>
    <definedName name="_161___123Graph_Xｸﾞﾗﾌ_3" hidden="1">'[17]13年度発生売上予算'!$AB$37:$AH$37</definedName>
    <definedName name="_161__123Graph_Cｸﾞﾗﾌ_3" hidden="1">[8]HQ!$E$9:$P$9</definedName>
    <definedName name="_161_123Graph_XCHAR" hidden="1">#REF!</definedName>
    <definedName name="_162_0__123Graph_DCHAR" hidden="1">#REF!</definedName>
    <definedName name="_163__123Graph_Cｸﾞﾗﾌ_4" hidden="1">[8]HQ!#REF!</definedName>
    <definedName name="_165_0__123Graph_XCHAR" hidden="1">#REF!</definedName>
    <definedName name="_165_123Graph_DCHAR" hidden="1">#REF!</definedName>
    <definedName name="_166__123Graph_XCHART_1" hidden="1">[7]RD9501V!#REF!</definedName>
    <definedName name="_167__123Graph_DCHART_1" hidden="1">#N/A</definedName>
    <definedName name="_168_0__123Graph_XCHAR" hidden="1">#REF!</definedName>
    <definedName name="_169____0__123Graph_ACHAR" hidden="1">#REF!</definedName>
    <definedName name="_169___0__123Graph_XCHAR" hidden="1">#REF!</definedName>
    <definedName name="_169__123Graph_Aｸﾞﾗﾌ_2" hidden="1">'[15]HE(他）'!#REF!</definedName>
    <definedName name="_169_123Graph_XCHAR" hidden="1">#REF!</definedName>
    <definedName name="_17________123Graph_ACHAR" hidden="1">#REF!</definedName>
    <definedName name="_17_______123Graph_CCHAR" hidden="1">#REF!</definedName>
    <definedName name="_17______123Graph_DCHAR" hidden="1">#REF!</definedName>
    <definedName name="_17_____0__123Graph_ACHAR" hidden="1">#REF!</definedName>
    <definedName name="_17_____0__123Graph_DCHAR" hidden="1">#REF!</definedName>
    <definedName name="_17____123Graph_CCHART_1" hidden="1">[22]RD9501V!#REF!</definedName>
    <definedName name="_17___0__123Graph_XCHAR" hidden="1">#REF!</definedName>
    <definedName name="_17___123Graph_Aｸﾞﾗﾌ_2" hidden="1">[8]GSV目標!#REF!</definedName>
    <definedName name="_17___123Graph_DCHART_1" hidden="1">[7]RD9501V!#REF!</definedName>
    <definedName name="_17___123Graph_XCHART_1" hidden="1">[9]RD9501V!#REF!</definedName>
    <definedName name="_17__123Graph_Aｸﾞﾗﾌ_1" hidden="1">[19]A!$AB$11:$AE$11</definedName>
    <definedName name="_17__123Graph_BCHART_1" hidden="1">[7]RD9501V!#REF!</definedName>
    <definedName name="_17__123Graph_CChart_4" hidden="1">#REF!</definedName>
    <definedName name="_17__123Graph_Cｸﾞﾗﾌ_4" hidden="1">[17]HQ!#REF!</definedName>
    <definedName name="_17__123Graph_XCHART_1" hidden="1">[23]RD9501V!#REF!</definedName>
    <definedName name="_17_0__123Graph_ACHAR" hidden="1">#REF!</definedName>
    <definedName name="_17_0__123Graph_CCHAR" hidden="1">#REF!</definedName>
    <definedName name="_17_0__123Graph_XCHAR" hidden="1">#REF!</definedName>
    <definedName name="_17_123Graph_ACHAR" hidden="1">#REF!</definedName>
    <definedName name="_17_123Graph_BCHAR" hidden="1">#REF!</definedName>
    <definedName name="_17_123Graph_CCHAR" hidden="1">#REF!</definedName>
    <definedName name="_17_123Graph_DCHAR" hidden="1">#REF!</definedName>
    <definedName name="_170___0__123Graph_XCHAR" hidden="1">#REF!</definedName>
    <definedName name="_170__123Graph_Aｸﾞﾗﾌ_3" hidden="1">#REF!</definedName>
    <definedName name="_171__123Graph_XCHART_1" hidden="1">#N/A</definedName>
    <definedName name="_171__123Graph_Xｸﾞﾗﾌ_2" hidden="1">[8]GSV目標!#REF!</definedName>
    <definedName name="_173____0__123Graph_BCHAR" hidden="1">#REF!</definedName>
    <definedName name="_173__123Graph_Xｸﾞﾗﾌ_1" hidden="1">'[16]13年度発生売上予算'!$AB$10:$AE$10</definedName>
    <definedName name="_175__123Graph_Xｸﾞﾗﾌ_2" hidden="1">'[16]13年度発生売上予算'!$AB$19:$AJ$19</definedName>
    <definedName name="_176__123Graph_Xｸﾞﾗﾌ_4" hidden="1">[12]HQ!#REF!</definedName>
    <definedName name="_177____0__123Graph_CCHAR" hidden="1">#REF!</definedName>
    <definedName name="_177__123Graph_Xｸﾞﾗﾌ_3" hidden="1">'[16]13年度発生売上予算'!$AB$37:$AH$37</definedName>
    <definedName name="_179__123Graph_Xｸﾞﾗﾌ_4" hidden="1">[8]HQ!#REF!</definedName>
    <definedName name="_18_" hidden="1">#REF!</definedName>
    <definedName name="_18_______123Graph_DCHAR" hidden="1">#REF!</definedName>
    <definedName name="_18______123Graph_BCHAR" hidden="1">#REF!</definedName>
    <definedName name="_18______123Graph_CCHAR" hidden="1">#REF!</definedName>
    <definedName name="_18______123Graph_XCHAR" hidden="1">#REF!</definedName>
    <definedName name="_18_____0__123Graph_BCHAR" hidden="1">#REF!</definedName>
    <definedName name="_18_____0__123Graph_XCHAR" hidden="1">#REF!</definedName>
    <definedName name="_18_____123Graph_ACHART_1" hidden="1">#N/A</definedName>
    <definedName name="_18____123Graph_DCHART_1" hidden="1">[22]RD9501V!#REF!</definedName>
    <definedName name="_18___123Graph_Aｸﾞﾗﾌ_3" hidden="1">[12]HQ!$E$7:$P$7</definedName>
    <definedName name="_18___123Graph_BCHART_1" hidden="1">[26]RD9501V!#REF!</definedName>
    <definedName name="_18___123Graph_DCHART_1" hidden="1">[7]RD9501V!#REF!</definedName>
    <definedName name="_18__123Graph_ACHART_1" hidden="1">[24]RD9501V!#REF!</definedName>
    <definedName name="_18__123Graph_Aｸﾞﾗﾌ_2" hidden="1">[19]A!$AB$20:$AJ$20</definedName>
    <definedName name="_18__123Graph_BCHART_1" hidden="1">[13]RD9501V!#REF!</definedName>
    <definedName name="_18__123Graph_Bｸﾞﾗﾌ_1" hidden="1">'[16]13年度発生売上予算'!$AO$10:$AO$13</definedName>
    <definedName name="_18__123Graph_CCHART_1" hidden="1">[8]RD9501V!#REF!</definedName>
    <definedName name="_18__123Graph_DCHART_1" hidden="1">[7]RD9501V!#REF!</definedName>
    <definedName name="_18__123Graph_Xｸﾞﾗﾌ_1" hidden="1">[27]A!$AB$10:$AE$10</definedName>
    <definedName name="_18_0__123Graph_ACHAR" hidden="1">#N/A</definedName>
    <definedName name="_18_0__123Graph_BCHAR" hidden="1">#REF!</definedName>
    <definedName name="_18_0__123Graph_CCHAR" hidden="1">#REF!</definedName>
    <definedName name="_18_0__123Graph_DCHAR" hidden="1">#REF!</definedName>
    <definedName name="_18_123Graph_ACHAR" hidden="1">#REF!</definedName>
    <definedName name="_18_123Graph_BCHAR" hidden="1">#REF!</definedName>
    <definedName name="_18_123Graph_CCHAR" hidden="1">#REF!</definedName>
    <definedName name="_18_123Graph_DCHAR" hidden="1">#REF!</definedName>
    <definedName name="_18_123Graph_XCHAR" hidden="1">#REF!</definedName>
    <definedName name="_181____0__123Graph_DCHAR" hidden="1">#REF!</definedName>
    <definedName name="_183___0__123Graph_ACHAR" hidden="1">#REF!</definedName>
    <definedName name="_183__123Graph_Aｸﾞﾗﾌ_4" hidden="1">'[15]HE(他）'!#REF!</definedName>
    <definedName name="_185____0__123Graph_XCHAR" hidden="1">#REF!</definedName>
    <definedName name="_185___0__123Graph_BCHAR" hidden="1">#REF!</definedName>
    <definedName name="_186_0__123Graph_ACHAR" hidden="1">#REF!</definedName>
    <definedName name="_187___0__123Graph_CCHAR" hidden="1">#REF!</definedName>
    <definedName name="_189___0__123Graph_DCHAR" hidden="1">#REF!</definedName>
    <definedName name="_189_123Graph_ACHAR" hidden="1">#REF!</definedName>
    <definedName name="_18F" hidden="1">#REF!</definedName>
    <definedName name="_19_______123Graph_XCHAR" hidden="1">#REF!</definedName>
    <definedName name="_19______123Graph_ACHAR" hidden="1">#REF!</definedName>
    <definedName name="_19______123Graph_XCHAR" hidden="1">#REF!</definedName>
    <definedName name="_19_____0__123Graph_BCHAR" hidden="1">#REF!</definedName>
    <definedName name="_19____123Graph_XCHART_1" hidden="1">[22]RD9501V!#REF!</definedName>
    <definedName name="_19___123Graph_Aｸﾞﾗﾌ_4" hidden="1">[12]HQ!#REF!</definedName>
    <definedName name="_19___123Graph_XCHART_1" hidden="1">[7]RD9501V!#REF!</definedName>
    <definedName name="_19__123Graph_ACHART_1" hidden="1">[7]RD9501V!#REF!</definedName>
    <definedName name="_19__123Graph_Aｸﾞﾗﾌ_1" hidden="1">[17]A!$AB$11:$AE$11</definedName>
    <definedName name="_19__123Graph_Aｸﾞﾗﾌ_3" hidden="1">[19]A!$AB$38:$AH$38</definedName>
    <definedName name="_19__123Graph_Bｸﾞﾗﾌ_1" hidden="1">[12]GSV目標!$B$5:$M$5</definedName>
    <definedName name="_19__123Graph_Bｸﾞﾗﾌ_2" hidden="1">'[16]13年度発生売上予算'!$AO$24:$AO$32</definedName>
    <definedName name="_19__123Graph_Cｸﾞﾗﾌ_1" hidden="1">[12]GSV目標!$B$6:$M$6</definedName>
    <definedName name="_19__123Graph_XCHART_1" hidden="1">[8]RD9501V!#REF!</definedName>
    <definedName name="_19__123Graph_Xｸﾞﾗﾌ_2" hidden="1">[27]A!$AB$19:$AJ$19</definedName>
    <definedName name="_19_0__123Graph_ACHAR" hidden="1">[28]事業部!#REF!</definedName>
    <definedName name="_19_0__123Graph_BCHAR" hidden="1">#REF!</definedName>
    <definedName name="_19_0__123Graph_CCHAR" hidden="1">#REF!</definedName>
    <definedName name="_19_0__123Graph_XCHAR" hidden="1">#REF!</definedName>
    <definedName name="_19_123Graph_AChar" hidden="1">#REF!</definedName>
    <definedName name="_19_123Graph_BCHAR" hidden="1">#REF!</definedName>
    <definedName name="_19_123Graph_CCHAR" hidden="1">#REF!</definedName>
    <definedName name="_19_123Graph_XCHAR" hidden="1">#REF!</definedName>
    <definedName name="_191___0__123Graph_XCHAR" hidden="1">#REF!</definedName>
    <definedName name="_191_0__123Graph_BCHAR" hidden="1">#REF!</definedName>
    <definedName name="_192__123Graph_BCHART_1" hidden="1">[7]RD9501V!#REF!</definedName>
    <definedName name="_193__123Graph_Bｸﾞﾗﾌ_1" hidden="1">'[15]HE(他）'!$B$5:$M$5</definedName>
    <definedName name="_194__123Graph_ACHART_1" hidden="1">[15]RD9501V!#REF!</definedName>
    <definedName name="_196__123Graph_Aｸﾞﾗﾌ_1" hidden="1">[29]A!$AB$11:$AE$11</definedName>
    <definedName name="_196_0__123Graph_CCHAR" hidden="1">#REF!</definedName>
    <definedName name="_198__123Graph_Aｸﾞﾗﾌ_2" hidden="1">[29]A!$AB$20:$AJ$20</definedName>
    <definedName name="_2______123Graph_ACHAR" hidden="1">#REF!</definedName>
    <definedName name="_2_____123Graph_BCHART_1" hidden="1">[6]RD9501V!#REF!</definedName>
    <definedName name="_2___123Graph_ACHART_1" hidden="1">[9]RD9501V!#REF!</definedName>
    <definedName name="_2__123Graph_ACHART_1" hidden="1">[30]RD9501V!#REF!</definedName>
    <definedName name="_2__123Graph_BCHART_1" hidden="1">[7]RD9501V!#REF!</definedName>
    <definedName name="_2_123Graph_ACHAR" hidden="1">#REF!</definedName>
    <definedName name="_20_" hidden="1">#REF!</definedName>
    <definedName name="_20________123Graph_BCHAR" hidden="1">#REF!</definedName>
    <definedName name="_20_____0__123Graph_ACHAR" hidden="1">#REF!</definedName>
    <definedName name="_20_____0__123Graph_BCHAR" hidden="1">#REF!</definedName>
    <definedName name="_20____0__123Graph_ACHAR" hidden="1">#REF!</definedName>
    <definedName name="_20___123Graph_BCHART_1" hidden="1">[25]RD9501V!#REF!</definedName>
    <definedName name="_20___123Graph_Bｸﾞﾗﾌ_1" hidden="1">[8]GSV目標!$B$5:$M$5</definedName>
    <definedName name="_20___123Graph_CCHART_1" hidden="1">[17]RD9501V!#REF!</definedName>
    <definedName name="_20___123Graph_XCHART_1" hidden="1">[7]RD9501V!#REF!</definedName>
    <definedName name="_20__123Graph_Aｸﾞﾗﾌ_2" hidden="1">[17]A!$AB$20:$AJ$20</definedName>
    <definedName name="_20__123Graph_BCHART_1" hidden="1">#N/A</definedName>
    <definedName name="_20__123Graph_Bｸﾞﾗﾌ_3" hidden="1">'[16]13年度発生売上予算'!$AO$38:$AO$44</definedName>
    <definedName name="_20__123Graph_CCHART_1" hidden="1">[24]RD9501V!#REF!</definedName>
    <definedName name="_20__123Graph_Cｸﾞﾗﾌ_2" hidden="1">[12]GSV目標!#REF!</definedName>
    <definedName name="_20__123Graph_DCHART_1" hidden="1">[7]RD9501V!#REF!</definedName>
    <definedName name="_20__123Graph_XCHART_1" hidden="1">[20]RD9501V!#REF!</definedName>
    <definedName name="_20__123Graph_Xｸﾞﾗﾌ_2" hidden="1">[12]GSV目標!#REF!</definedName>
    <definedName name="_20__123Graph_Xｸﾞﾗﾌ_3" hidden="1">[27]A!$AB$37:$AH$37</definedName>
    <definedName name="_20_0__123Graph_BCHAR" hidden="1">#REF!</definedName>
    <definedName name="_20_0__123Graph_DCHAR" hidden="1">#REF!</definedName>
    <definedName name="_20_123Graph_ACHAR" hidden="1">#REF!</definedName>
    <definedName name="_20_123Graph_BChar" hidden="1">#REF!</definedName>
    <definedName name="_20_123Graph_XCHAR" hidden="1">#REF!</definedName>
    <definedName name="_200__123Graph_Aｸﾞﾗﾌ_3" hidden="1">[29]A!$AB$38:$AH$38</definedName>
    <definedName name="_201_0__123Graph_DCHAR" hidden="1">#REF!</definedName>
    <definedName name="_202_0__123Graph_ACHAR" hidden="1">#REF!</definedName>
    <definedName name="_204__123Graph_Aｸﾞﾗﾌ_4" hidden="1">[31]HQ!#REF!</definedName>
    <definedName name="_206__123Graph_Bｸﾞﾗﾌ_2" hidden="1">'[15]HE(他）'!#REF!</definedName>
    <definedName name="_206_0__123Graph_XCHAR" hidden="1">#REF!</definedName>
    <definedName name="_207__123Graph_Bｸﾞﾗﾌ_3" hidden="1">#REF!</definedName>
    <definedName name="_208_123Graph_BCHAR" hidden="1">#REF!</definedName>
    <definedName name="_209_0__123Graph_ACHAR" hidden="1">#REF!</definedName>
    <definedName name="_209_0__123Graph_BCHAR" hidden="1">#REF!</definedName>
    <definedName name="_21______123Graph_ACHAR" hidden="1">#REF!</definedName>
    <definedName name="_21______123Graph_CCHAR" hidden="1">#REF!</definedName>
    <definedName name="_21_____0__123Graph_BCHAR" hidden="1">#REF!</definedName>
    <definedName name="_21_____0__123Graph_CCHAR" hidden="1">#REF!</definedName>
    <definedName name="_21_____123Graph_BCHART_1" hidden="1">#N/A</definedName>
    <definedName name="_21____0__123Graph_BCHAR" hidden="1">#REF!</definedName>
    <definedName name="_21___0__123Graph_ACHAR" hidden="1">#REF!</definedName>
    <definedName name="_21___123Graph_ACHART_1" hidden="1">[7]RD9501V!#REF!</definedName>
    <definedName name="_21___123Graph_Bｸﾞﾗﾌ_2" hidden="1">[8]GSV目標!#REF!</definedName>
    <definedName name="_21__123Graph_ACHART_1" hidden="1">[32]RD9501V!#REF!</definedName>
    <definedName name="_21__123Graph_Aｸﾞﾗﾌ_3" hidden="1">[17]A!$AB$38:$AH$38</definedName>
    <definedName name="_21__123Graph_BCHART_1" hidden="1">[7]RD9501V!#REF!</definedName>
    <definedName name="_21__123Graph_Bｸﾞﾗﾌ_2" hidden="1">[12]GSV目標!#REF!</definedName>
    <definedName name="_21__123Graph_Bｸﾞﾗﾌ_4" hidden="1">[12]HQ!#REF!</definedName>
    <definedName name="_21__123Graph_CCHART_1" hidden="1">[7]RD9501V!#REF!</definedName>
    <definedName name="_21__123Graph_Cｸﾞﾗﾌ_3" hidden="1">[11]HQ!$E$9:$P$9</definedName>
    <definedName name="_21__123Graph_Xｸﾞﾗﾌ_4" hidden="1">[17]HQ!#REF!</definedName>
    <definedName name="_21_0__123Graph_ACHAR" hidden="1">'[23]#REF'!#REF!</definedName>
    <definedName name="_21_0__123Graph_BCHAR" hidden="1">#N/A</definedName>
    <definedName name="_21_0__123Graph_CCHAR" hidden="1">#REF!</definedName>
    <definedName name="_21_0__123Graph_XCHAR" hidden="1">#REF!</definedName>
    <definedName name="_21_123Graph_ACHAR" hidden="1">#REF!</definedName>
    <definedName name="_21_123Graph_BCHAR" hidden="1">#REF!</definedName>
    <definedName name="_21_123Graph_CChar" hidden="1">#REF!</definedName>
    <definedName name="_21_123Graph_DCHAR" hidden="1">#REF!</definedName>
    <definedName name="_210_0__123Graph_ACHAR" hidden="1">#REF!</definedName>
    <definedName name="_213__123Graph_BCHART_1" hidden="1">[15]RD9501V!#REF!</definedName>
    <definedName name="_215__123Graph_Bｸﾞﾗﾌ_1" hidden="1">[29]A!$AO$10:$AO$13</definedName>
    <definedName name="_216_0__123Graph_CCHAR" hidden="1">#REF!</definedName>
    <definedName name="_217__123Graph_Bｸﾞﾗﾌ_2" hidden="1">[29]A!$AO$24:$AO$32</definedName>
    <definedName name="_219__123Graph_Bｸﾞﾗﾌ_3" hidden="1">[29]A!$AO$38:$AO$44</definedName>
    <definedName name="_22______123Graph_BCHAR" hidden="1">#REF!</definedName>
    <definedName name="_22______123Graph_CCHAR" hidden="1">#REF!</definedName>
    <definedName name="_22______123Graph_DCHAR" hidden="1">#REF!</definedName>
    <definedName name="_22_____0__123Graph_CCHAR" hidden="1">#REF!</definedName>
    <definedName name="_22____0__123Graph_CCHAR" hidden="1">#REF!</definedName>
    <definedName name="_22___0__123Graph_BCHAR" hidden="1">#REF!</definedName>
    <definedName name="_22___123Graph_ACHART_1" hidden="1">[9]RD9501V!#REF!</definedName>
    <definedName name="_22___123Graph_Bｸﾞﾗﾌ_3" hidden="1">[12]HQ!$E$8:$P$8</definedName>
    <definedName name="_22__123Graph_Bｸﾞﾗﾌ_1" hidden="1">[19]A!$AO$10:$AO$13</definedName>
    <definedName name="_22__123Graph_Bｸﾞﾗﾌ_3" hidden="1">[19]HQ!$E$8:$P$8</definedName>
    <definedName name="_22__123Graph_CCHART_1" hidden="1">[7]RD9501V!#REF!</definedName>
    <definedName name="_22__123Graph_Cｸﾞﾗﾌ_4" hidden="1">[11]HQ!#REF!</definedName>
    <definedName name="_22__123Graph_DCHART_1" hidden="1">#N/A</definedName>
    <definedName name="_22__123Graph_XCHART_1" hidden="1">[7]RD9501V!#REF!</definedName>
    <definedName name="_22_0__123Graph_ACHAR" hidden="1">#REF!</definedName>
    <definedName name="_22_0__123Graph_BCHAR" hidden="1">'[23]#REF'!#REF!</definedName>
    <definedName name="_22_0__123Graph_XCHAR" hidden="1">#REF!</definedName>
    <definedName name="_22_123Graph_ACHAR" hidden="1">#REF!</definedName>
    <definedName name="_22_123Graph_BCHAR" hidden="1">#REF!</definedName>
    <definedName name="_22_123Graph_CCHAR" hidden="1">#REF!</definedName>
    <definedName name="_22_123Graph_DCHAR" hidden="1">#REF!</definedName>
    <definedName name="_22_123Graph_XCHAR" hidden="1">#REF!</definedName>
    <definedName name="_220__123Graph_Bｸﾞﾗﾌ_4" hidden="1">'[15]HE(他）'!#REF!</definedName>
    <definedName name="_221_0__123Graph_BCHAR" hidden="1">#REF!</definedName>
    <definedName name="_222_0__123Graph_BCHAR" hidden="1">#REF!</definedName>
    <definedName name="_223__123Graph_Bｸﾞﾗﾌ_4" hidden="1">[31]HQ!#REF!</definedName>
    <definedName name="_223_0__123Graph_DCHAR" hidden="1">#REF!</definedName>
    <definedName name="_227_123Graph_CCHAR" hidden="1">#REF!</definedName>
    <definedName name="_229__123Graph_CCHART_1" hidden="1">[7]RD9501V!#REF!</definedName>
    <definedName name="_23________123Graph_CCHAR" hidden="1">#REF!</definedName>
    <definedName name="_23______123Graph_BCHAR" hidden="1">#REF!</definedName>
    <definedName name="_23_____0__123Graph_CCHAR" hidden="1">#REF!</definedName>
    <definedName name="_23_____0__123Graph_DCHAR" hidden="1">#REF!</definedName>
    <definedName name="_23____0__123Graph_DCHAR" hidden="1">#REF!</definedName>
    <definedName name="_23___0__123Graph_CCHAR" hidden="1">#REF!</definedName>
    <definedName name="_23___123Graph_Bｸﾞﾗﾌ_4" hidden="1">[12]HQ!#REF!</definedName>
    <definedName name="_23__123Graph_ACHART_1" hidden="1">[10]RD9501V!#REF!</definedName>
    <definedName name="_23__123Graph_BCHART_1" hidden="1">[32]RD9501V!#REF!</definedName>
    <definedName name="_23__123Graph_Bｸﾞﾗﾌ_2" hidden="1">[19]A!$AO$24:$AO$32</definedName>
    <definedName name="_23__123Graph_CCHART_1" hidden="1">[7]RD9501V!#REF!</definedName>
    <definedName name="_23__123Graph_Cｸﾞﾗﾌ_1" hidden="1">[8]GSV目標!$B$6:$M$6</definedName>
    <definedName name="_23_0__123Graph_BCHAR" hidden="1">#REF!</definedName>
    <definedName name="_23_0__123Graph_CCHAR" hidden="1">'[23]#REF'!#REF!</definedName>
    <definedName name="_23_123Graph_DCHAR" hidden="1">#REF!</definedName>
    <definedName name="_23_123Graph_XCHAR" hidden="1">#REF!</definedName>
    <definedName name="_230__123Graph_Cｸﾞﾗﾌ_1" hidden="1">'[15]HE(他）'!$B$6:$M$6</definedName>
    <definedName name="_230_0__123Graph_XCHAR" hidden="1">#REF!</definedName>
    <definedName name="_232__123Graph_CCHART_1" hidden="1">[15]RD9501V!#REF!</definedName>
    <definedName name="_233__123Graph_Cｸﾞﾗﾌ_1" hidden="1">[33]GSV目標!$B$6:$M$6</definedName>
    <definedName name="_233_0__123Graph_CCHAR" hidden="1">#REF!</definedName>
    <definedName name="_234_0__123Graph_CCHAR" hidden="1">#REF!</definedName>
    <definedName name="_237__123Graph_Cｸﾞﾗﾌ_2" hidden="1">[33]GSV目標!#REF!</definedName>
    <definedName name="_238__123Graph_Cｸﾞﾗﾌ_3" hidden="1">[31]HQ!$E$9:$P$9</definedName>
    <definedName name="_24_" hidden="1">#REF!</definedName>
    <definedName name="_24______123Graph_ACHAR" hidden="1">#REF!</definedName>
    <definedName name="_24_____0__123Graph_DCHAR" hidden="1">#REF!</definedName>
    <definedName name="_24_____0__123Graph_XCHAR" hidden="1">#REF!</definedName>
    <definedName name="_24_____123Graph_CCHART_1" hidden="1">#N/A</definedName>
    <definedName name="_24____0__123Graph_XCHAR" hidden="1">#REF!</definedName>
    <definedName name="_24___0__123Graph_DCHAR" hidden="1">#REF!</definedName>
    <definedName name="_24___123Graph_ACHART_1" hidden="1">[9]RD9501V!#REF!</definedName>
    <definedName name="_24___123Graph_BCHART_1" hidden="1">[9]RD9501V!#REF!</definedName>
    <definedName name="_24___123Graph_CCHART_1" hidden="1">[26]RD9501V!#REF!</definedName>
    <definedName name="_24___123Graph_Cｸﾞﾗﾌ_1" hidden="1">[8]GSV目標!$B$6:$M$6</definedName>
    <definedName name="_24___123Graph_DCHART_1" hidden="1">[17]RD9501V!#REF!</definedName>
    <definedName name="_24__123Graph_ACHART_1" hidden="1">[17]RD9501V!#REF!</definedName>
    <definedName name="_24__123Graph_BCHART_1" hidden="1">[14]RD9501V!#REF!</definedName>
    <definedName name="_24__123Graph_Bｸﾞﾗﾌ_1" hidden="1">[17]A!$AO$10:$AO$13</definedName>
    <definedName name="_24__123Graph_Bｸﾞﾗﾌ_3" hidden="1">[19]A!$AO$38:$AO$44</definedName>
    <definedName name="_24__123Graph_Bｸﾞﾗﾌ_4" hidden="1">[19]HQ!#REF!</definedName>
    <definedName name="_24__123Graph_CCHART_1" hidden="1">#N/A</definedName>
    <definedName name="_24__123Graph_Cｸﾞﾗﾌ_2" hidden="1">[8]GSV目標!#REF!</definedName>
    <definedName name="_24__123Graph_DCHART_1" hidden="1">[24]RD9501V!#REF!</definedName>
    <definedName name="_24__123Graph_XCHART_1" hidden="1">[7]RD9501V!#REF!</definedName>
    <definedName name="_24_0__123Graph_ACHAR" hidden="1">#REF!</definedName>
    <definedName name="_24_0__123Graph_BCHAR" hidden="1">#REF!</definedName>
    <definedName name="_24_0__123Graph_CCHAR" hidden="1">#REF!</definedName>
    <definedName name="_24_0__123Graph_DCHAR" hidden="1">'[23]#REF'!#REF!</definedName>
    <definedName name="_24_123Graph_BCHAR" hidden="1">#REF!</definedName>
    <definedName name="_24_123Graph_CCHAR" hidden="1">#REF!</definedName>
    <definedName name="_24_123Graph_DCHAR" hidden="1">#REF!</definedName>
    <definedName name="_242__123Graph_Cｸﾞﾗﾌ_4" hidden="1">[31]HQ!#REF!</definedName>
    <definedName name="_243__123Graph_Cｸﾞﾗﾌ_2" hidden="1">'[15]HE(他）'!#REF!</definedName>
    <definedName name="_244__123Graph_Cｸﾞﾗﾌ_3" hidden="1">#REF!</definedName>
    <definedName name="_245_0__123Graph_DCHAR" hidden="1">#REF!</definedName>
    <definedName name="_246_0__123Graph_DCHAR" hidden="1">#REF!</definedName>
    <definedName name="_246_123Graph_DCHAR" hidden="1">#REF!</definedName>
    <definedName name="_25__________123Graph_ACHAR" hidden="1">#REF!</definedName>
    <definedName name="_25______123Graph_CCHAR" hidden="1">#REF!</definedName>
    <definedName name="_25_____0__123Graph_DCHAR" hidden="1">#REF!</definedName>
    <definedName name="_25___0__123Graph_XCHAR" hidden="1">#REF!</definedName>
    <definedName name="_25___123Graph_BCHART_1" hidden="1">[7]RD9501V!#REF!</definedName>
    <definedName name="_25___123Graph_Cｸﾞﾗﾌ_2" hidden="1">[8]GSV目標!#REF!</definedName>
    <definedName name="_25__123Graph_ACHART_1" hidden="1">[7]RD9501V!#REF!</definedName>
    <definedName name="_25__123Graph_BCHART_1" hidden="1">[10]RD9501V!#REF!</definedName>
    <definedName name="_25__123Graph_Bｸﾞﾗﾌ_2" hidden="1">[17]A!$AO$24:$AO$32</definedName>
    <definedName name="_25__123Graph_CCHART_1" hidden="1">[32]RD9501V!#REF!</definedName>
    <definedName name="_25__123Graph_Cｸﾞﾗﾌ_3" hidden="1">[12]HQ!$E$9:$P$9</definedName>
    <definedName name="_25__123Graph_DCHART_1" hidden="1">[7]RD9501V!#REF!</definedName>
    <definedName name="_25__123Graph_XCHART_1" hidden="1">[7]RD9501V!#REF!</definedName>
    <definedName name="_25_0__123Graph_BCHAR" hidden="1">#REF!</definedName>
    <definedName name="_25_0__123Graph_CCHAR" hidden="1">#N/A</definedName>
    <definedName name="_25_0__123Graph_DCHAR" hidden="1">#REF!</definedName>
    <definedName name="_25_0__123Graph_XCHAR" hidden="1">'[23]#REF'!#REF!</definedName>
    <definedName name="_25_123Graph_ACHAR" hidden="1">#REF!</definedName>
    <definedName name="_25_123Graph_CCHAR" hidden="1">#REF!</definedName>
    <definedName name="_25_123Graph_XCHAR" hidden="1">#REF!</definedName>
    <definedName name="_251__123Graph_DCHART_1" hidden="1">[15]RD9501V!#REF!</definedName>
    <definedName name="_255_123Graph_XCHAR" hidden="1">#REF!</definedName>
    <definedName name="_257__123Graph_Cｸﾞﾗﾌ_4" hidden="1">'[15]HE(他）'!#REF!</definedName>
    <definedName name="_257_0__123Graph_XCHAR" hidden="1">#REF!</definedName>
    <definedName name="_258_0__123Graph_XCHAR" hidden="1">#REF!</definedName>
    <definedName name="_26________123Graph_ACHAR" hidden="1">#REF!</definedName>
    <definedName name="_26________123Graph_DCHAR" hidden="1">#REF!</definedName>
    <definedName name="_26_______123Graph_ACHART_1" hidden="1">[7]RD9501V!#REF!</definedName>
    <definedName name="_26______123Graph_ACHAR" hidden="1">#REF!</definedName>
    <definedName name="_26______123Graph_DCHAR" hidden="1">#REF!</definedName>
    <definedName name="_26______123Graph_XCHAR" hidden="1">#REF!</definedName>
    <definedName name="_26_____0__123Graph_DCHAR" hidden="1">#REF!</definedName>
    <definedName name="_26___123Graph_ACHART_1" hidden="1">[9]RD9501V!#REF!</definedName>
    <definedName name="_26___123Graph_CCHART_1" hidden="1">[9]RD9501V!#REF!</definedName>
    <definedName name="_26___123Graph_Cｸﾞﾗﾌ_3" hidden="1">[12]HQ!$E$9:$P$9</definedName>
    <definedName name="_26__123Graph_ACHART_1" hidden="1">[6]RD9501V!#REF!</definedName>
    <definedName name="_26__123Graph_Aｸﾞﾗﾌ_1" hidden="1">[8]GSV目標!$B$4:$M$4</definedName>
    <definedName name="_26__123Graph_Bｸﾞﾗﾌ_3" hidden="1">[17]A!$AO$38:$AO$44</definedName>
    <definedName name="_26__123Graph_CCHART_1" hidden="1">[6]RD9501V!#REF!</definedName>
    <definedName name="_26__123Graph_Cｸﾞﾗﾌ_4" hidden="1">[12]HQ!#REF!</definedName>
    <definedName name="_26__123Graph_XCHART_1" hidden="1">[8]RD9501V!#REF!</definedName>
    <definedName name="_26_0__123Graph_ACHAR" hidden="1">#REF!</definedName>
    <definedName name="_26_0__123Graph_BCHAR" hidden="1">#REF!</definedName>
    <definedName name="_26_0__123Graph_CCHAR" hidden="1">#REF!</definedName>
    <definedName name="_26_0__123Graph_XCHAR" hidden="1">#REF!</definedName>
    <definedName name="_26_123Graph_CCHAR" hidden="1">#REF!</definedName>
    <definedName name="_26_123Graph_DCHAR" hidden="1">#REF!</definedName>
    <definedName name="_26_123Graph_XCHAR" hidden="1">#REF!</definedName>
    <definedName name="_260__123Graph_XCHART_1" hidden="1">[15]RD9501V!#REF!</definedName>
    <definedName name="_261__123Graph_Xｸﾞﾗﾌ_1" hidden="1">[29]A!$AB$10:$AE$10</definedName>
    <definedName name="_263__123Graph_Xｸﾞﾗﾌ_2" hidden="1">[29]A!$AB$19:$AJ$19</definedName>
    <definedName name="_264__123Graph_Xｸﾞﾗﾌ_3" hidden="1">[29]A!$AB$37:$AH$37</definedName>
    <definedName name="_266__123Graph_DCHART_1" hidden="1">[7]RD9501V!#REF!</definedName>
    <definedName name="_268__123Graph_Xｸﾞﾗﾌ_4" hidden="1">[31]HQ!#REF!</definedName>
    <definedName name="_27_____________0__123Graph_ACHAR" hidden="1">#REF!</definedName>
    <definedName name="_27__________123Graph_BCHAR" hidden="1">#REF!</definedName>
    <definedName name="_27______123Graph_BCHAR" hidden="1">#REF!</definedName>
    <definedName name="_27______123Graph_CCHAR" hidden="1">#REF!</definedName>
    <definedName name="_27______123Graph_DCHAR" hidden="1">#REF!</definedName>
    <definedName name="_27_____0__123Graph_XCHAR" hidden="1">#REF!</definedName>
    <definedName name="_27_____123Graph_ACHART_1" hidden="1">#N/A</definedName>
    <definedName name="_27_____123Graph_DCHART_1" hidden="1">#N/A</definedName>
    <definedName name="_27___123Graph_ACHART_1" hidden="1">[22]RD9501V!#REF!</definedName>
    <definedName name="_27___123Graph_CCHART_1" hidden="1">[34]RD9501V!#REF!</definedName>
    <definedName name="_27___123Graph_Cｸﾞﾗﾌ_4" hidden="1">[12]HQ!#REF!</definedName>
    <definedName name="_27__123Graph_CCHART_1" hidden="1">[10]RD9501V!#REF!</definedName>
    <definedName name="_27__123Graph_DCHART_1" hidden="1">[7]RD9501V!#REF!</definedName>
    <definedName name="_27__123Graph_XCHART_1" hidden="1">[7]RD9501V!#REF!</definedName>
    <definedName name="_27__123Graph_Xｸﾞﾗﾌ_2" hidden="1">[12]GSV目標!#REF!</definedName>
    <definedName name="_27_0__123Graph_BCHAR" hidden="1">#REF!</definedName>
    <definedName name="_27_0__123Graph_CCHAR" hidden="1">[28]事業部!#REF!</definedName>
    <definedName name="_27_0__123Graph_DCHAR" hidden="1">#REF!</definedName>
    <definedName name="_27_123Graph_BCHAR" hidden="1">#REF!</definedName>
    <definedName name="_27_123Graph_CCHAR" hidden="1">#REF!</definedName>
    <definedName name="_27_123Graph_DCHAR" hidden="1">#REF!</definedName>
    <definedName name="_275__123Graph_XCHART_1" hidden="1">[7]RD9501V!#REF!</definedName>
    <definedName name="_276__123Graph_Xｸﾞﾗﾌ_1" hidden="1">'[16]13年度発生売上予算'!$AB$10:$AE$10</definedName>
    <definedName name="_277___0__123Graph_ACHAR" hidden="1">#REF!</definedName>
    <definedName name="_28_____________0__123Graph_BCHAR" hidden="1">#REF!</definedName>
    <definedName name="_28_______123Graph_BCHART_1" hidden="1">[7]RD9501V!#REF!</definedName>
    <definedName name="_28______123Graph_ACHAR" hidden="1">#REF!</definedName>
    <definedName name="_28______123Graph_BCHAR" hidden="1">#REF!</definedName>
    <definedName name="_28______123Graph_DCHAR" hidden="1">#REF!</definedName>
    <definedName name="_28_____0__123Graph_XCHAR" hidden="1">#REF!</definedName>
    <definedName name="_28___0__123Graph_ACHAR" hidden="1">#REF!</definedName>
    <definedName name="_28___123Graph_DCHART_1" hidden="1">[9]RD9501V!#REF!</definedName>
    <definedName name="_28___123Graph_XCHART_1" hidden="1">[17]RD9501V!#REF!</definedName>
    <definedName name="_28___123Graph_Xｸﾞﾗﾌ_2" hidden="1">[8]GSV目標!#REF!</definedName>
    <definedName name="_28__123Graph_Aｸﾞﾗﾌ_2" hidden="1">[8]GSV目標!#REF!</definedName>
    <definedName name="_28__123Graph_BCHART_1" hidden="1">[6]RD9501V!#REF!</definedName>
    <definedName name="_28__123Graph_CCHART_1" hidden="1">[13]RD9501V!#REF!</definedName>
    <definedName name="_28__123Graph_DCHART_1" hidden="1">#N/A</definedName>
    <definedName name="_28__123Graph_XCHART_1" hidden="1">[7]RD9501V!#REF!</definedName>
    <definedName name="_28__123Graph_Xｸﾞﾗﾌ_4" hidden="1">[11]HQ!#REF!</definedName>
    <definedName name="_28_0__123Graph_ACHAR" hidden="1">#REF!</definedName>
    <definedName name="_28_0__123Graph_BCHAR" hidden="1">#REF!</definedName>
    <definedName name="_28_0__123Graph_CCHAR" hidden="1">#REF!</definedName>
    <definedName name="_28_0__123Graph_DCHAR" hidden="1">#REF!</definedName>
    <definedName name="_28_123Graph_ACHAR" hidden="1">#REF!</definedName>
    <definedName name="_28_123Graph_CCHAR" hidden="1">#REF!</definedName>
    <definedName name="_28_123Graph_DCHAR" hidden="1">#REF!</definedName>
    <definedName name="_28_123Graph_XCHAR" hidden="1">#REF!</definedName>
    <definedName name="_282___0__123Graph_BCHAR" hidden="1">#REF!</definedName>
    <definedName name="_287___0__123Graph_CCHAR" hidden="1">#REF!</definedName>
    <definedName name="_289__123Graph_Xｸﾞﾗﾌ_2" hidden="1">'[15]HE(他）'!#REF!</definedName>
    <definedName name="_29_____________0__123Graph_CCHAR" hidden="1">#REF!</definedName>
    <definedName name="_29__________123Graph_CCHAR" hidden="1">#REF!</definedName>
    <definedName name="_29________123Graph_XCHAR" hidden="1">#REF!</definedName>
    <definedName name="_29_____0__123Graph_XCHAR" hidden="1">#REF!</definedName>
    <definedName name="_29___0__123Graph_BCHAR" hidden="1">#REF!</definedName>
    <definedName name="_29___123Graph_BCHART_1" hidden="1">[22]RD9501V!#REF!</definedName>
    <definedName name="_29___123Graph_CCHART_1" hidden="1">[7]RD9501V!#REF!</definedName>
    <definedName name="_29___123Graph_Xｸﾞﾗﾌ_4" hidden="1">[12]HQ!#REF!</definedName>
    <definedName name="_29__123Graph_Aｸﾞﾗﾌ_3" hidden="1">[12]HQ!$E$7:$P$7</definedName>
    <definedName name="_29__123Graph_Cｸﾞﾗﾌ_1" hidden="1">[12]GSV目標!$B$6:$M$6</definedName>
    <definedName name="_29__123Graph_DCHART_1" hidden="1">[10]RD9501V!#REF!</definedName>
    <definedName name="_29__123Graph_XCHART_1" hidden="1">[32]RD9501V!#REF!</definedName>
    <definedName name="_29__123Graph_Xｸﾞﾗﾌ_1" hidden="1">'[16]13年度発生売上予算'!$AB$10:$AE$10</definedName>
    <definedName name="_29_0__123Graph_ACHAR" hidden="1">#REF!</definedName>
    <definedName name="_29_0__123Graph_BCHAR" hidden="1">#REF!</definedName>
    <definedName name="_29_0__123Graph_DCHAR" hidden="1">#REF!</definedName>
    <definedName name="_29_123Graph_CCHAR" hidden="1">#REF!</definedName>
    <definedName name="_29_123Graph_DCHAR" hidden="1">#REF!</definedName>
    <definedName name="_29_123Graph_XCHAR" hidden="1">#REF!</definedName>
    <definedName name="_290__123Graph_Xｸﾞﾗﾌ_3" hidden="1">'[16]13年度発生売上予算'!$AB$37:$AH$37</definedName>
    <definedName name="_292___0__123Graph_DCHAR" hidden="1">#REF!</definedName>
    <definedName name="_297___0__123Graph_XCHAR" hidden="1">#REF!</definedName>
    <definedName name="_3______123Graph_BCHAR" hidden="1">#REF!</definedName>
    <definedName name="_3_____123Graph_CCHART_1" hidden="1">[6]RD9501V!#REF!</definedName>
    <definedName name="_3__123Graph_ACHART_1" hidden="1">[7]RD9501V!#REF!</definedName>
    <definedName name="_3__123Graph_BCHART_1" hidden="1">[30]RD9501V!#REF!</definedName>
    <definedName name="_3__123Graph_CCHART_1" hidden="1">[7]RD9501V!#REF!</definedName>
    <definedName name="_3_123Graph_ACHAR" hidden="1">#REF!</definedName>
    <definedName name="_3_123Graph_BCHAR" hidden="1">#REF!</definedName>
    <definedName name="_30_____________0__123Graph_DCHAR" hidden="1">#REF!</definedName>
    <definedName name="_30_______123Graph_CCHART_1" hidden="1">[7]RD9501V!#REF!</definedName>
    <definedName name="_30______123Graph_CCHAR" hidden="1">#REF!</definedName>
    <definedName name="_30______123Graph_XCHAR" hidden="1">#REF!</definedName>
    <definedName name="_30_____123Graph_XCHART_1" hidden="1">#N/A</definedName>
    <definedName name="_30____0__123Graph_ACHAR" hidden="1">#REF!</definedName>
    <definedName name="_30___0__123Graph_ACHAR" hidden="1">#REF!</definedName>
    <definedName name="_30___0__123Graph_CCHAR" hidden="1">#REF!</definedName>
    <definedName name="_30___123Graph_ACHART_1" hidden="1">[7]RD9501V!#REF!</definedName>
    <definedName name="_30___123Graph_BCHART_1" hidden="1">[9]RD9501V!#REF!</definedName>
    <definedName name="_30___123Graph_DCHART_1" hidden="1">[26]RD9501V!#REF!</definedName>
    <definedName name="_30___123Graph_XCHART_1" hidden="1">[9]RD9501V!#REF!</definedName>
    <definedName name="_30__123Graph_BCHART_1" hidden="1">[17]RD9501V!#REF!</definedName>
    <definedName name="_30__123Graph_CCHART_1" hidden="1">[24]RD9501V!#REF!</definedName>
    <definedName name="_30__123Graph_DCHART_1" hidden="1">[9]RD9501V!#REF!</definedName>
    <definedName name="_30__123Graph_XCHART_1" hidden="1">[6]RD9501V!#REF!</definedName>
    <definedName name="_30__123Graph_Xｸﾞﾗﾌ_2" hidden="1">'[16]13年度発生売上予算'!$AB$19:$AJ$19</definedName>
    <definedName name="_30_0__123Graph_ACHAR" hidden="1">#REF!</definedName>
    <definedName name="_30_0__123Graph_BCHAR" hidden="1">#REF!</definedName>
    <definedName name="_30_0__123Graph_CCHAR" hidden="1">#REF!</definedName>
    <definedName name="_30_0__123Graph_DCHAR" hidden="1">#REF!</definedName>
    <definedName name="_30_0__123Graph_XCHAR" hidden="1">#REF!</definedName>
    <definedName name="_30_123Graph_ACHAR" hidden="1">#REF!</definedName>
    <definedName name="_30_123Graph_XCHAR" hidden="1">#REF!</definedName>
    <definedName name="_303__123Graph_Xｸﾞﾗﾌ_4" hidden="1">'[15]HE(他）'!#REF!</definedName>
    <definedName name="_31_____________0__123Graph_XCHAR" hidden="1">#REF!</definedName>
    <definedName name="_31__________123Graph_DCHAR" hidden="1">#REF!</definedName>
    <definedName name="_31________123Graph_BCHAR" hidden="1">#REF!</definedName>
    <definedName name="_31______123Graph_DCHAR" hidden="1">#REF!</definedName>
    <definedName name="_31______123Graph_XCHAR" hidden="1">#REF!</definedName>
    <definedName name="_31____0__123Graph_BCHAR" hidden="1">#REF!</definedName>
    <definedName name="_31___0__123Graph_BCHAR" hidden="1">#REF!</definedName>
    <definedName name="_31___0__123Graph_DCHAR" hidden="1">#REF!</definedName>
    <definedName name="_31___123Graph_CCHART_1" hidden="1">[22]RD9501V!#REF!</definedName>
    <definedName name="_31__123Graph_ACHART_1" hidden="1">#N/A</definedName>
    <definedName name="_31__123Graph_Aｸﾞﾗﾌ_4" hidden="1">[12]HQ!#REF!</definedName>
    <definedName name="_31__123Graph_Cｸﾞﾗﾌ_2" hidden="1">[12]GSV目標!#REF!</definedName>
    <definedName name="_31__123Graph_XCHART_1" hidden="1">[10]RD9501V!#REF!</definedName>
    <definedName name="_31__123Graph_Xｸﾞﾗﾌ_1" hidden="1">[19]A!$AB$10:$AE$10</definedName>
    <definedName name="_31__123Graph_Xｸﾞﾗﾌ_3" hidden="1">'[16]13年度発生売上予算'!$AB$37:$AH$37</definedName>
    <definedName name="_31_0__123Graph_CCHAR" hidden="1">#REF!</definedName>
    <definedName name="_31_0__123Graph_DCHAR" hidden="1">#REF!</definedName>
    <definedName name="_31_0__123Graph_XCHAR" hidden="1">#REF!</definedName>
    <definedName name="_31_123Graph_DCHAR" hidden="1">#REF!</definedName>
    <definedName name="_31_123Graph_XCHAR" hidden="1">#REF!</definedName>
    <definedName name="_312___0__123Graph_ACHAR" hidden="1">#N/A</definedName>
    <definedName name="_313___0__123Graph_ACHAR" hidden="1">#REF!</definedName>
    <definedName name="_317_0__123Graph_ACHAR" hidden="1">#REF!</definedName>
    <definedName name="_318_0__123Graph_ACHAR" hidden="1">#REF!</definedName>
    <definedName name="_32_______123Graph_ACHAR" hidden="1">#REF!</definedName>
    <definedName name="_32_______123Graph_DCHART_1" hidden="1">[7]RD9501V!#REF!</definedName>
    <definedName name="_32______123Graph_BCHAR" hidden="1">#REF!</definedName>
    <definedName name="_32______123Graph_CCHAR" hidden="1">#REF!</definedName>
    <definedName name="_32______123Graph_DCHAR" hidden="1">#REF!</definedName>
    <definedName name="_32_____123Graph_BCHART_1" hidden="1">#N/A</definedName>
    <definedName name="_32____0__123Graph_CCHAR" hidden="1">#REF!</definedName>
    <definedName name="_32___0__123Graph_CCHAR" hidden="1">#REF!</definedName>
    <definedName name="_32___0__123Graph_XCHAR" hidden="1">#REF!</definedName>
    <definedName name="_32___123Graph_ACHART_1" hidden="1">[7]RD9501V!#REF!</definedName>
    <definedName name="_32___123Graph_XCHART_1" hidden="1">[25]RD9501V!#REF!</definedName>
    <definedName name="_32__123Graph_ACHART_1" hidden="1">[7]RD9501V!#REF!</definedName>
    <definedName name="_32__123Graph_CCHART_1" hidden="1">[14]RD9501V!#REF!</definedName>
    <definedName name="_32__123Graph_Cｸﾞﾗﾌ_3" hidden="1">[19]HQ!$E$9:$P$9</definedName>
    <definedName name="_32__123Graph_DCHART_1" hidden="1">[6]RD9501V!#REF!</definedName>
    <definedName name="_32__123Graph_XCHART_1" hidden="1">#N/A</definedName>
    <definedName name="_32__123Graph_Xｸﾞﾗﾌ_2" hidden="1">[19]A!$AB$19:$AJ$19</definedName>
    <definedName name="_32__123Graph_Xｸﾞﾗﾌ_4" hidden="1">[12]HQ!#REF!</definedName>
    <definedName name="_32_0__123Graph_BCHAR" hidden="1">#REF!</definedName>
    <definedName name="_32_0__123Graph_DCHAR" hidden="1">#REF!</definedName>
    <definedName name="_32_0__123Graph_XCHAR" hidden="1">#REF!</definedName>
    <definedName name="_32_123Graph_DCHAR" hidden="1">#REF!</definedName>
    <definedName name="_322___0__123Graph_BCHAR" hidden="1">#N/A</definedName>
    <definedName name="_323___0__123Graph_BCHAR" hidden="1">#REF!</definedName>
    <definedName name="_329_0__123Graph_BCHAR" hidden="1">#REF!</definedName>
    <definedName name="_33__________123Graph_XCHAR" hidden="1">#REF!</definedName>
    <definedName name="_33______123Graph_CCHAR" hidden="1">#REF!</definedName>
    <definedName name="_33______123Graph_XCHAR" hidden="1">#REF!</definedName>
    <definedName name="_33____0__123Graph_DCHAR" hidden="1">#REF!</definedName>
    <definedName name="_33___0__123Graph_ACHAR" hidden="1">#REF!</definedName>
    <definedName name="_33___0__123Graph_DCHAR" hidden="1">#REF!</definedName>
    <definedName name="_33___123Graph_BCHART_1" hidden="1">[7]RD9501V!#REF!</definedName>
    <definedName name="_33___123Graph_DCHART_1" hidden="1">[22]RD9501V!#REF!</definedName>
    <definedName name="_33___123Graph_XCHART_1" hidden="1">[34]RD9501V!#REF!</definedName>
    <definedName name="_33__123Graph_Aｸﾞﾗﾌ_1" hidden="1">[35]A!$AB$11:$AE$11</definedName>
    <definedName name="_33__123Graph_Xｸﾞﾗﾌ_1" hidden="1">[17]A!$AB$10:$AE$10</definedName>
    <definedName name="_33__123Graph_Xｸﾞﾗﾌ_3" hidden="1">[19]A!$AB$37:$AH$37</definedName>
    <definedName name="_33_0__123Graph_XCHAR" hidden="1">#REF!</definedName>
    <definedName name="_33_123Graph_BCHAR" hidden="1">#REF!</definedName>
    <definedName name="_33_123Graph_CCHAR" hidden="1">#REF!</definedName>
    <definedName name="_33_123Graph_DCHAR" hidden="1">#REF!</definedName>
    <definedName name="_33_123Graph_XCHAR" hidden="1">#REF!</definedName>
    <definedName name="_330_0__123Graph_BCHAR" hidden="1">#REF!</definedName>
    <definedName name="_332___0__123Graph_CCHAR" hidden="1">#N/A</definedName>
    <definedName name="_333___0__123Graph_CCHAR" hidden="1">#REF!</definedName>
    <definedName name="_34_______123Graph_XCHART_1" hidden="1">[7]RD9501V!#REF!</definedName>
    <definedName name="_34______123Graph_BCHAR" hidden="1">#N/A</definedName>
    <definedName name="_34______123Graph_XCHAR" hidden="1">#REF!</definedName>
    <definedName name="_34____0__123Graph_XCHAR" hidden="1">#REF!</definedName>
    <definedName name="_34___0__123Graph_ACHAR" hidden="1">#REF!</definedName>
    <definedName name="_34___0__123Graph_XCHAR" hidden="1">#REF!</definedName>
    <definedName name="_34___123Graph_BCHART_1" hidden="1">[7]RD9501V!#REF!</definedName>
    <definedName name="_34___123Graph_CCHART_1" hidden="1">[7]RD9501V!#REF!</definedName>
    <definedName name="_34__123Graph_Aｸﾞﾗﾌ_2" hidden="1">[35]A!$AB$20:$AJ$20</definedName>
    <definedName name="_34__123Graph_BCHART_1" hidden="1">[7]RD9501V!#REF!</definedName>
    <definedName name="_34__123Graph_Cｸﾞﾗﾌ_4" hidden="1">[19]HQ!#REF!</definedName>
    <definedName name="_34__123Graph_XCHART_1" hidden="1">[6]RD9501V!#REF!</definedName>
    <definedName name="_34__123Graph_Xｸﾞﾗﾌ_2" hidden="1">[17]A!$AB$19:$AJ$19</definedName>
    <definedName name="_34_0__123Graph_ACHAR" hidden="1">#REF!</definedName>
    <definedName name="_34_0__123Graph_CCHAR" hidden="1">#REF!</definedName>
    <definedName name="_34_0__123Graph_XCHAR" hidden="1">#REF!</definedName>
    <definedName name="_34_123Graph_ACHAR" hidden="1">#REF!</definedName>
    <definedName name="_341_0__123Graph_CCHAR" hidden="1">#REF!</definedName>
    <definedName name="_342___0__123Graph_DCHAR" hidden="1">#N/A</definedName>
    <definedName name="_342_0__123Graph_CCHAR" hidden="1">#REF!</definedName>
    <definedName name="_343___0__123Graph_DCHAR" hidden="1">#REF!</definedName>
    <definedName name="_35_________123Graph_ACHAR" hidden="1">#REF!</definedName>
    <definedName name="_35______123Graph_ACHAR" hidden="1">#REF!</definedName>
    <definedName name="_35______123Graph_XCHAR" hidden="1">#REF!</definedName>
    <definedName name="_35____0__123Graph_ACHAR" hidden="1">#REF!</definedName>
    <definedName name="_35____123Graph_ACHART_1" hidden="1">#REF!</definedName>
    <definedName name="_35___0__123Graph_ACHAR" hidden="1">#REF!</definedName>
    <definedName name="_35___0__123Graph_BCHAR" hidden="1">#REF!</definedName>
    <definedName name="_35___123Graph_DCHART_1" hidden="1">[7]RD9501V!#REF!</definedName>
    <definedName name="_35___123Graph_XCHART_1" hidden="1">[22]RD9501V!#REF!</definedName>
    <definedName name="_35__123Graph_ACHART_1" hidden="1">#N/A</definedName>
    <definedName name="_35__123Graph_Aｸﾞﾗﾌ_3" hidden="1">[35]A!$AB$38:$AH$38</definedName>
    <definedName name="_35__123Graph_XCHART_1" hidden="1">[7]RD9501V!#REF!</definedName>
    <definedName name="_35__123Graph_Xｸﾞﾗﾌ_3" hidden="1">[17]A!$AB$37:$AH$37</definedName>
    <definedName name="_35_0__123Graph_ACHAR" hidden="1">#REF!</definedName>
    <definedName name="_35_0__123Graph_BCHAR" hidden="1">#REF!</definedName>
    <definedName name="_35_0__123Graph_XCHAR" hidden="1">#REF!</definedName>
    <definedName name="_352___0__123Graph_XCHAR" hidden="1">#N/A</definedName>
    <definedName name="_353___0__123Graph_XCHAR" hidden="1">#REF!</definedName>
    <definedName name="_353_0__123Graph_DCHAR" hidden="1">#REF!</definedName>
    <definedName name="_354_0__123Graph_DCHAR" hidden="1">#REF!</definedName>
    <definedName name="_36________123Graph_CCHAR" hidden="1">#REF!</definedName>
    <definedName name="_36______123Graph_ACHART_1" hidden="1">[7]RD9501V!#REF!</definedName>
    <definedName name="_36______123Graph_BCHAR" hidden="1">#REF!</definedName>
    <definedName name="_36______123Graph_CCHAR" hidden="1">#REF!</definedName>
    <definedName name="_36______123Graph_DCHAR" hidden="1">#REF!</definedName>
    <definedName name="_36___0__123Graph_BCHAR" hidden="1">#REF!</definedName>
    <definedName name="_36___123Graph_CCHART_1" hidden="1">[9]RD9501V!#REF!</definedName>
    <definedName name="_36___123Graph_XCHART_1" hidden="1">[26]RD9501V!#REF!</definedName>
    <definedName name="_36__123Graph_ACHART_1" hidden="1">[7]RD9501V!#REF!</definedName>
    <definedName name="_36__123Graph_BCHART_1" hidden="1">[7]RD9501V!#REF!</definedName>
    <definedName name="_36__123Graph_CCHART_1" hidden="1">[7]RD9501V!#REF!</definedName>
    <definedName name="_36__123Graph_DCHART_1" hidden="1">[24]RD9501V!#REF!</definedName>
    <definedName name="_36_0__123Graph_ACHAR" hidden="1">#REF!</definedName>
    <definedName name="_36_0__123Graph_BCHAR" hidden="1">#REF!</definedName>
    <definedName name="_36_0__123Graph_DCHAR" hidden="1">#REF!</definedName>
    <definedName name="_36_123Graph_BCHAR" hidden="1">#REF!</definedName>
    <definedName name="_36_123Graph_CCHAR" hidden="1">#REF!</definedName>
    <definedName name="_36_123Graph_DCHAR" hidden="1">#REF!</definedName>
    <definedName name="_365_0__123Graph_XCHAR" hidden="1">#REF!</definedName>
    <definedName name="_366_0__123Graph_XCHAR" hidden="1">#REF!</definedName>
    <definedName name="_37_________123Graph_BCHAR" hidden="1">#REF!</definedName>
    <definedName name="_37_______123Graph_BCHAR" hidden="1">#REF!</definedName>
    <definedName name="_37_____123Graph_CCHART_1" hidden="1">#N/A</definedName>
    <definedName name="_37____0__123Graph_BCHAR" hidden="1">#REF!</definedName>
    <definedName name="_37___0__123Graph_CCHAR" hidden="1">#REF!</definedName>
    <definedName name="_37___123Graph_XCHART_1" hidden="1">[7]RD9501V!#REF!</definedName>
    <definedName name="_37__123Graph_ACHART_1" hidden="1">[7]RD9501V!#REF!</definedName>
    <definedName name="_37__123Graph_Aｸﾞﾗﾌ_1" hidden="1">[16]GSV目標!$B$4:$M$4</definedName>
    <definedName name="_37__123Graph_Bｸﾞﾗﾌ_1" hidden="1">[8]GSV目標!$B$5:$M$5</definedName>
    <definedName name="_37__123Graph_CCHART_1" hidden="1">#N/A</definedName>
    <definedName name="_37_0__123Graph_ACHAR" hidden="1">#REF!</definedName>
    <definedName name="_37_0__123Graph_BCHAR" hidden="1">#REF!</definedName>
    <definedName name="_37_0__123Graph_CCHAR" hidden="1">#REF!</definedName>
    <definedName name="_37_123Graph_ACHAR" hidden="1">#REF!</definedName>
    <definedName name="_37_123Graph_BCHAR" hidden="1">#REF!</definedName>
    <definedName name="_38______123Graph_BCHART_1" hidden="1">[7]RD9501V!#REF!</definedName>
    <definedName name="_38___0__123Graph_CCHAR" hidden="1">#REF!</definedName>
    <definedName name="_38___0__123Graph_DCHAR" hidden="1">#REF!</definedName>
    <definedName name="_38___123Graph_BCHART_1" hidden="1">#N/A</definedName>
    <definedName name="_38___123Graph_CCHART_1" hidden="1">[7]RD9501V!#REF!</definedName>
    <definedName name="_38___123Graph_DCHART_1" hidden="1">[9]RD9501V!#REF!</definedName>
    <definedName name="_38__123Graph_ACHART_1" hidden="1">[22]RD9501V!#REF!</definedName>
    <definedName name="_38__123Graph_BCHART_1" hidden="1">[7]RD9501V!#REF!</definedName>
    <definedName name="_38__123Graph_DCHART_1" hidden="1">[13]RD9501V!#REF!</definedName>
    <definedName name="_38_0__123Graph_ACHAR" hidden="1">#REF!</definedName>
    <definedName name="_38_0__123Graph_BCHAR" hidden="1">#REF!</definedName>
    <definedName name="_38_0__123Graph_CCHAR" hidden="1">#REF!</definedName>
    <definedName name="_38_0__123Graph_DCHAR" hidden="1">#REF!</definedName>
    <definedName name="_38_0__123Graph_XCHAR" hidden="1">#REF!</definedName>
    <definedName name="_39_________123Graph_CCHAR" hidden="1">#REF!</definedName>
    <definedName name="_39______123Graph_DCHAR" hidden="1">#REF!</definedName>
    <definedName name="_39____0__123Graph_CCHAR" hidden="1">#REF!</definedName>
    <definedName name="_39___0__123Graph_DCHAR" hidden="1">#REF!</definedName>
    <definedName name="_39___0__123Graph_XCHAR" hidden="1">#REF!</definedName>
    <definedName name="_39__123Graph_Aｸﾞﾗﾌ_2" hidden="1">[16]GSV目標!#REF!</definedName>
    <definedName name="_39__123Graph_BCHART_1" hidden="1">[27]RD9501V!#REF!</definedName>
    <definedName name="_39__123Graph_Bｸﾞﾗﾌ_2" hidden="1">[8]GSV目標!#REF!</definedName>
    <definedName name="_39__123Graph_CCHART_1" hidden="1">[7]RD9501V!#REF!</definedName>
    <definedName name="_39_0__123Graph_BCHAR" hidden="1">#REF!</definedName>
    <definedName name="_39_0__123Graph_CCHAR" hidden="1">#REF!</definedName>
    <definedName name="_39_0__123Graph_DCHAR" hidden="1">#REF!</definedName>
    <definedName name="_39_0__123Graph_XCHAR" hidden="1">#REF!</definedName>
    <definedName name="_39_123Graph_ACHAR" hidden="1">#REF!</definedName>
    <definedName name="_39_123Graph_BCHAR" hidden="1">#REF!</definedName>
    <definedName name="_39_123Graph_DCHAR" hidden="1">#REF!</definedName>
    <definedName name="_39_123Graph_XCHAR" hidden="1">#REF!</definedName>
    <definedName name="_4______0__123Graph_ACHAR" hidden="1">#REF!</definedName>
    <definedName name="_4_____123Graph_DCHART_1" hidden="1">[6]RD9501V!#REF!</definedName>
    <definedName name="_4___123Graph_ACHART_1" hidden="1">[9]RD9501V!#REF!</definedName>
    <definedName name="_4___123Graph_BCHART_1" hidden="1">[9]RD9501V!#REF!</definedName>
    <definedName name="_4__123Graph_ACHART_1" hidden="1">[14]RD9501V!#REF!</definedName>
    <definedName name="_4__123Graph_Aｸﾞﾗﾌ_1" hidden="1">[12]GSV目標!$B$4:$M$4</definedName>
    <definedName name="_4__123Graph_BCHART_1" hidden="1">#N/A</definedName>
    <definedName name="_4__123Graph_CCHART_1" hidden="1">[30]RD9501V!#REF!</definedName>
    <definedName name="_4__123Graph_DCHART_1" hidden="1">[7]RD9501V!#REF!</definedName>
    <definedName name="_4_123Graph_ACHAR" hidden="1">#REF!</definedName>
    <definedName name="_4_123Graph_BCHAR" hidden="1">#REF!</definedName>
    <definedName name="_40_" hidden="1">#REF!</definedName>
    <definedName name="_40______123Graph_CCHART_1" hidden="1">[7]RD9501V!#REF!</definedName>
    <definedName name="_40______123Graph_DCHAR" hidden="1">#REF!</definedName>
    <definedName name="_40______123Graph_XCHAR" hidden="1">#REF!</definedName>
    <definedName name="_40____123Graph_BCHART_1" hidden="1">#REF!</definedName>
    <definedName name="_40___0__123Graph_DCHAR" hidden="1">#REF!</definedName>
    <definedName name="_40___123Graph_ACHART_1" hidden="1">[9]RD9501V!#REF!</definedName>
    <definedName name="_40___123Graph_BCHART_1" hidden="1">[18]RD9501V!#REF!</definedName>
    <definedName name="_40__123Graph_Aｸﾞﾗﾌ_3" hidden="1">[36]HQ!$E$7:$P$7</definedName>
    <definedName name="_40__123Graph_BCHART_1" hidden="1">[22]RD9501V!#REF!</definedName>
    <definedName name="_40__123Graph_Bｸﾞﾗﾌ_1" hidden="1">[35]A!$AO$10:$AO$13</definedName>
    <definedName name="_40__123Graph_Bｸﾞﾗﾌ_3" hidden="1">[12]HQ!$E$8:$P$8</definedName>
    <definedName name="_40__123Graph_DCHART_1" hidden="1">[14]RD9501V!#REF!</definedName>
    <definedName name="_40__123Graph_XCHART_1" hidden="1">[7]RD9501V!#REF!</definedName>
    <definedName name="_40_0__123Graph_BCHAR" hidden="1">#REF!</definedName>
    <definedName name="_40_0__123Graph_CCHAR" hidden="1">#REF!</definedName>
    <definedName name="_40_0__123Graph_DCHAR" hidden="1">#REF!</definedName>
    <definedName name="_40_0__123Graph_XCHAR" hidden="1">#REF!</definedName>
    <definedName name="_40_123Graph_CCHAR" hidden="1">#REF!</definedName>
    <definedName name="_40_123Graph_XCHAR" hidden="1">#REF!</definedName>
    <definedName name="_408_0__123Graph_ACHAR" hidden="1">#REF!</definedName>
    <definedName name="_409_0__123Graph_ACHAR" hidden="1">#REF!</definedName>
    <definedName name="_41_________123Graph_DCHAR" hidden="1">#REF!</definedName>
    <definedName name="_41________123Graph_DCHAR" hidden="1">#REF!</definedName>
    <definedName name="_41____0__123Graph_DCHAR" hidden="1">#REF!</definedName>
    <definedName name="_41___0__123Graph_XCHAR" hidden="1">#REF!</definedName>
    <definedName name="_41__123Graph_ACHART_1" hidden="1">[15]RD9501V!#REF!</definedName>
    <definedName name="_41__123Graph_Bｸﾞﾗﾌ_2" hidden="1">[35]A!$AO$24:$AO$32</definedName>
    <definedName name="_41__123Graph_CCHART_1" hidden="1">#N/A</definedName>
    <definedName name="_41__123Graph_XCHART_1" hidden="1">[7]RD9501V!#REF!</definedName>
    <definedName name="_41_0__123Graph_CCHAR" hidden="1">#REF!</definedName>
    <definedName name="_41_0__123Graph_DCHAR" hidden="1">#REF!</definedName>
    <definedName name="_41_0__123Graph_XCHAR" hidden="1">#REF!</definedName>
    <definedName name="_41_123Graph_CCHAR" hidden="1">#REF!</definedName>
    <definedName name="_410_0__123Graph_ACHAR" hidden="1">#REF!</definedName>
    <definedName name="_42_______123Graph_CCHAR" hidden="1">#REF!</definedName>
    <definedName name="_42______123Graph_CCHAR" hidden="1">#N/A</definedName>
    <definedName name="_42______123Graph_DCHART_1" hidden="1">[7]RD9501V!#REF!</definedName>
    <definedName name="_42_____123Graph_DCHART_1" hidden="1">#N/A</definedName>
    <definedName name="_42___0__123Graph_ACHAR" hidden="1">#REF!</definedName>
    <definedName name="_42___0__123Graph_XCHAR" hidden="1">#REF!</definedName>
    <definedName name="_42___123Graph_ACHART_1" hidden="1">[9]RD9501V!#REF!</definedName>
    <definedName name="_42___123Graph_DCHART_1" hidden="1">[7]RD9501V!#REF!</definedName>
    <definedName name="_42___123Graph_XCHART_1" hidden="1">[9]RD9501V!#REF!</definedName>
    <definedName name="_42__123Graph_ACHART_1" hidden="1">[7]RD9501V!#REF!</definedName>
    <definedName name="_42__123Graph_Aｸﾞﾗﾌ_4" hidden="1">[36]HQ!#REF!</definedName>
    <definedName name="_42__123Graph_Bｸﾞﾗﾌ_3" hidden="1">[35]A!$AO$38:$AO$44</definedName>
    <definedName name="_42__123Graph_Bｸﾞﾗﾌ_4" hidden="1">[12]HQ!#REF!</definedName>
    <definedName name="_42__123Graph_CCHART_1" hidden="1">[22]RD9501V!#REF!</definedName>
    <definedName name="_42__123Graph_DCHART_1" hidden="1">[17]RD9501V!#REF!</definedName>
    <definedName name="_42__123Graph_XCHART_1" hidden="1">[24]RD9501V!#REF!</definedName>
    <definedName name="_42_0__123Graph_ACHAR" hidden="1">#REF!</definedName>
    <definedName name="_42_0__123Graph_CCHAR" hidden="1">#REF!</definedName>
    <definedName name="_42_0__123Graph_XCHAR" hidden="1">#REF!</definedName>
    <definedName name="_42_123Graph_XCHAR" hidden="1">#REF!</definedName>
    <definedName name="_43_________123Graph_XCHAR" hidden="1">#REF!</definedName>
    <definedName name="_43____0__123Graph_XCHAR" hidden="1">#REF!</definedName>
    <definedName name="_43___0__123Graph_ACHAR" hidden="1">#REF!</definedName>
    <definedName name="_43__123Graph_Aｸﾞﾗﾌ_1" hidden="1">[21]A!$AB$11:$AE$11</definedName>
    <definedName name="_43__123Graph_XCHART_1" hidden="1">#N/A</definedName>
    <definedName name="_43_0__123Graph_DCHAR" hidden="1">#REF!</definedName>
    <definedName name="_43_0__123Graph_XCHAR" hidden="1">#REF!</definedName>
    <definedName name="_43_123Graph_DCHAR" hidden="1">#REF!</definedName>
    <definedName name="_44______123Graph_CCHAR" hidden="1">#REF!</definedName>
    <definedName name="_44______123Graph_XCHAR" hidden="1">#REF!</definedName>
    <definedName name="_44______123Graph_XCHART_1" hidden="1">[7]RD9501V!#REF!</definedName>
    <definedName name="_44___0__123Graph_ACHAR" hidden="1">#REF!</definedName>
    <definedName name="_44__123Graph_Aｸﾞﾗﾌ_2" hidden="1">[21]A!$AB$20:$AJ$20</definedName>
    <definedName name="_44__123Graph_DCHART_1" hidden="1">[22]RD9501V!#REF!</definedName>
    <definedName name="_44__123Graph_Xｸﾞﾗﾌ_2" hidden="1">[12]GSV目標!#REF!</definedName>
    <definedName name="_44_0__123Graph_DCHAR" hidden="1">#REF!</definedName>
    <definedName name="_44_123Graph_ACHAR" hidden="1">#REF!</definedName>
    <definedName name="_44_123Graph_BCHAR" hidden="1">#REF!</definedName>
    <definedName name="_44_123Graph_CCHAR" hidden="1">#REF!</definedName>
    <definedName name="_44_123Graph_XCHAR" hidden="1">#REF!</definedName>
    <definedName name="_45__________0__123Graph_ACHAR" hidden="1">#REF!</definedName>
    <definedName name="_45_______0__123Graph_ACHAR" hidden="1">#REF!</definedName>
    <definedName name="_45______123Graph_BCHAR" hidden="1">#REF!</definedName>
    <definedName name="_45______123Graph_XCHAR" hidden="1">#REF!</definedName>
    <definedName name="_45____123Graph_CCHART_1" hidden="1">#REF!</definedName>
    <definedName name="_45___0__123Graph_BCHAR" hidden="1">#REF!</definedName>
    <definedName name="_45__123Graph_Aｸﾞﾗﾌ_3" hidden="1">[21]A!$AB$38:$AH$38</definedName>
    <definedName name="_45_0__123Graph_ACHAR" hidden="1">#REF!</definedName>
    <definedName name="_45_0__123Graph_DCHAR" hidden="1">#REF!</definedName>
    <definedName name="_45_0__123Graph_XCHAR" hidden="1">#REF!</definedName>
    <definedName name="_45_123Graph_ACHAR" hidden="1">#REF!</definedName>
    <definedName name="_45_123Graph_XCHAR" hidden="1">#REF!</definedName>
    <definedName name="_456_0__123Graph_BCHAR" hidden="1">#REF!</definedName>
    <definedName name="_457_0__123Graph_BCHAR" hidden="1">#REF!</definedName>
    <definedName name="_458_0__123Graph_BCHAR" hidden="1">#REF!</definedName>
    <definedName name="_46__________0__123Graph_BCHAR" hidden="1">#REF!</definedName>
    <definedName name="_46________123Graph_XCHAR" hidden="1">#REF!</definedName>
    <definedName name="_46_______0__123Graph_BCHAR" hidden="1">#REF!</definedName>
    <definedName name="_46______123Graph_ACHAR" hidden="1">#N/A</definedName>
    <definedName name="_46___0__123Graph_BCHAR" hidden="1">#REF!</definedName>
    <definedName name="_46___123Graph_CCHART_1" hidden="1">#N/A</definedName>
    <definedName name="_46___123Graph_XCHART_1" hidden="1">[7]RD9501V!#REF!</definedName>
    <definedName name="_46__123Graph_ACHART_1" hidden="1">[7]RD9501V!#REF!</definedName>
    <definedName name="_46__123Graph_Aｸﾞﾗﾌ_2" hidden="1">'[37]HE(他）'!#REF!</definedName>
    <definedName name="_46__123Graph_BCHART_1" hidden="1">[7]RD9501V!#REF!</definedName>
    <definedName name="_46__123Graph_CCHART_1" hidden="1">[27]RD9501V!#REF!</definedName>
    <definedName name="_46__123Graph_XCHART_1" hidden="1">[22]RD9501V!#REF!</definedName>
    <definedName name="_46__123Graph_Xｸﾞﾗﾌ_4" hidden="1">[19]HQ!#REF!</definedName>
    <definedName name="_46_0__123Graph_ACHAR" hidden="1">#REF!</definedName>
    <definedName name="_46_0__123Graph_XCHAR" hidden="1">#REF!</definedName>
    <definedName name="_46_123Graph_XCHAR" hidden="1">#REF!</definedName>
    <definedName name="_47__________0__123Graph_CCHAR" hidden="1">#REF!</definedName>
    <definedName name="_47_______0__123Graph_CCHAR" hidden="1">#REF!</definedName>
    <definedName name="_47_______123Graph_DCHAR" hidden="1">#REF!</definedName>
    <definedName name="_47_____123Graph_XCHART_1" hidden="1">#N/A</definedName>
    <definedName name="_47___0__123Graph_ACHAR" hidden="1">#REF!</definedName>
    <definedName name="_47___0__123Graph_BCHAR" hidden="1">#REF!</definedName>
    <definedName name="_47___123Graph_ACHART_1" hidden="1">#N/A</definedName>
    <definedName name="_47__123Graph_ACHART_1" hidden="1">[8]RD9501V!#REF!</definedName>
    <definedName name="_47__123Graph_Bｸﾞﾗﾌ_1" hidden="1">[16]GSV目標!$B$5:$M$5</definedName>
    <definedName name="_47__123Graph_CCHART_1" hidden="1">[7]RD9501V!#REF!</definedName>
    <definedName name="_47__123Graph_XCHART_1" hidden="1">#N/A</definedName>
    <definedName name="_47_0__123Graph_ACHAR" hidden="1">#REF!</definedName>
    <definedName name="_47_0__123Graph_BCHAR" hidden="1">#REF!</definedName>
    <definedName name="_48__________0__123Graph_DCHAR" hidden="1">#REF!</definedName>
    <definedName name="_48_______0__123Graph_DCHAR" hidden="1">#REF!</definedName>
    <definedName name="_48______123Graph_BCHAR" hidden="1">#N/A</definedName>
    <definedName name="_48___0__123Graph_BCHAR" hidden="1">#REF!</definedName>
    <definedName name="_48___0__123Graph_CCHAR" hidden="1">#REF!</definedName>
    <definedName name="_48___123Graph_BCHART_1" hidden="1">[9]RD9501V!#REF!</definedName>
    <definedName name="_48___123Graph_CCHART_1" hidden="1">[18]RD9501V!#REF!</definedName>
    <definedName name="_48___123Graph_XCHART_1" hidden="1">[9]RD9501V!#REF!</definedName>
    <definedName name="_48__123Graph_Aｸﾞﾗﾌ_1" hidden="1">[17]GSV目標!$B$4:$M$4</definedName>
    <definedName name="_48__123Graph_Aｸﾞﾗﾌ_3" hidden="1">#REF!</definedName>
    <definedName name="_48__123Graph_CCHART_1" hidden="1">[17]RD9501V!#REF!</definedName>
    <definedName name="_48__123Graph_Cｸﾞﾗﾌ_1" hidden="1">[8]GSV目標!$B$6:$M$6</definedName>
    <definedName name="_48__123Graph_XCHART_1" hidden="1">[14]RD9501V!#REF!</definedName>
    <definedName name="_48_0__123Graph_ACHAR" hidden="1">#REF!</definedName>
    <definedName name="_48_0__123Graph_BCHAR" hidden="1">#REF!</definedName>
    <definedName name="_48_123Graph_BCHAR" hidden="1">#REF!</definedName>
    <definedName name="_48_123Graph_DCHAR" hidden="1">#REF!</definedName>
    <definedName name="_49__________0__123Graph_XCHAR" hidden="1">#REF!</definedName>
    <definedName name="_49_______0__123Graph_XCHAR" hidden="1">#REF!</definedName>
    <definedName name="_49___0__123Graph_CCHAR" hidden="1">#REF!</definedName>
    <definedName name="_49___123Graph_BCHART_1" hidden="1">#N/A</definedName>
    <definedName name="_49__123Graph_Bｸﾞﾗﾌ_2" hidden="1">[16]GSV目標!#REF!</definedName>
    <definedName name="_49_0__123Graph_BCHAR" hidden="1">#REF!</definedName>
    <definedName name="_49_0__123Graph_CCHAR" hidden="1">#REF!</definedName>
    <definedName name="_49_123Graph_ACHAR" hidden="1">#REF!</definedName>
    <definedName name="_5_" hidden="1">[2]Sheet1!#REF!</definedName>
    <definedName name="_5______0__123Graph_BCHAR" hidden="1">#REF!</definedName>
    <definedName name="_5______123Graph_ACHAR" hidden="1">#REF!</definedName>
    <definedName name="_5______123Graph_CCHAR" hidden="1">#REF!</definedName>
    <definedName name="_5_____123Graph_ACHART_1" hidden="1">[6]RD9501V!#REF!</definedName>
    <definedName name="_5_____123Graph_XCHART_1" hidden="1">[6]RD9501V!#REF!</definedName>
    <definedName name="_5__123Graph_ACHART_1" hidden="1">[7]RD9501V!#REF!</definedName>
    <definedName name="_5__123Graph_Aｸﾞﾗﾌ_2" hidden="1">[12]GSV目標!#REF!</definedName>
    <definedName name="_5__123Graph_BCHART_1" hidden="1">[7]RD9501V!#REF!</definedName>
    <definedName name="_5__123Graph_CCHART_1" hidden="1">#N/A</definedName>
    <definedName name="_5__123Graph_DCHART_1" hidden="1">[30]RD9501V!#REF!</definedName>
    <definedName name="_5__123Graph_XCHART_1" hidden="1">[7]RD9501V!#REF!</definedName>
    <definedName name="_5_123Graph_ACHAR" hidden="1">#REF!</definedName>
    <definedName name="_5_123Graph_BCHAR" hidden="1">#REF!</definedName>
    <definedName name="_5_123Graph_CCHAR" hidden="1">#REF!</definedName>
    <definedName name="_50______123Graph_CCHAR" hidden="1">#N/A</definedName>
    <definedName name="_50______123Graph_DCHAR" hidden="1">#N/A</definedName>
    <definedName name="_50____123Graph_DCHART_1" hidden="1">#REF!</definedName>
    <definedName name="_50___0__123Graph_CCHAR" hidden="1">#REF!</definedName>
    <definedName name="_50___0__123Graph_DCHAR" hidden="1">#REF!</definedName>
    <definedName name="_50___123Graph_ACHART_1" hidden="1">[9]RD9501V!#REF!</definedName>
    <definedName name="_50___123Graph_BCHART_1" hidden="1">[9]RD9501V!#REF!</definedName>
    <definedName name="_50__123Graph_Aｸﾞﾗﾌ_2" hidden="1">[17]GSV目標!#REF!</definedName>
    <definedName name="_50__123Graph_BCHART_1" hidden="1">[7]RD9501V!#REF!</definedName>
    <definedName name="_50__123Graph_Bｸﾞﾗﾌ_3" hidden="1">[36]HQ!$E$8:$P$8</definedName>
    <definedName name="_50__123Graph_Cｸﾞﾗﾌ_2" hidden="1">[8]GSV目標!#REF!</definedName>
    <definedName name="_50__123Graph_DCHART_1" hidden="1">[27]RD9501V!#REF!</definedName>
    <definedName name="_50_0__123Graph_BCHAR" hidden="1">#REF!</definedName>
    <definedName name="_50_0__123Graph_CCHAR" hidden="1">#REF!</definedName>
    <definedName name="_50_0__123Graph_XCHAR" hidden="1">#REF!</definedName>
    <definedName name="_504_0__123Graph_CCHAR" hidden="1">#REF!</definedName>
    <definedName name="_505_0__123Graph_CCHAR" hidden="1">#REF!</definedName>
    <definedName name="_506_0__123Graph_CCHAR" hidden="1">#REF!</definedName>
    <definedName name="_51________123Graph_ACHAR" hidden="1">#REF!</definedName>
    <definedName name="_51________123Graph_ACHART_1" hidden="1">[9]RD9501V!#REF!</definedName>
    <definedName name="_51_______123Graph_ACHAR" hidden="1">#REF!</definedName>
    <definedName name="_51___0__123Graph_DCHAR" hidden="1">#REF!</definedName>
    <definedName name="_51___0__123Graph_XCHAR" hidden="1">#REF!</definedName>
    <definedName name="_51___123Graph_CCHART_1" hidden="1">#N/A</definedName>
    <definedName name="_51__123Graph_ACHART_1" hidden="1">[32]RD9501V!#REF!</definedName>
    <definedName name="_51__123Graph_Aｸﾞﾗﾌ_3" hidden="1">[38]HQ!$E$7:$P$7</definedName>
    <definedName name="_51__123Graph_Aｸﾞﾗﾌ_4" hidden="1">'[37]HE(他）'!#REF!</definedName>
    <definedName name="_51__123Graph_BCHART_1" hidden="1">[7]RD9501V!#REF!</definedName>
    <definedName name="_51__123Graph_Cｸﾞﾗﾌ_3" hidden="1">[12]HQ!$E$9:$P$9</definedName>
    <definedName name="_51_0__123Graph_ACHAR" hidden="1">#REF!</definedName>
    <definedName name="_51_0__123Graph_CCHAR" hidden="1">#REF!</definedName>
    <definedName name="_51_0__123Graph_DCHAR" hidden="1">#REF!</definedName>
    <definedName name="_51_123Graph_ACHAR" hidden="1">#REF!</definedName>
    <definedName name="_52________123Graph_BCHART_1" hidden="1">[9]RD9501V!#REF!</definedName>
    <definedName name="_52_______123Graph_XCHAR" hidden="1">#REF!</definedName>
    <definedName name="_52______123Graph_DCHAR" hidden="1">#N/A</definedName>
    <definedName name="_52_____123Graph_ACHART_1" hidden="1">[7]RD9501V!#REF!</definedName>
    <definedName name="_52___0__123Graph_DCHAR" hidden="1">#REF!</definedName>
    <definedName name="_52__123Graph_Bｸﾞﾗﾌ_1" hidden="1">[21]A!$AO$10:$AO$13</definedName>
    <definedName name="_52__123Graph_Bｸﾞﾗﾌ_4" hidden="1">[36]HQ!#REF!</definedName>
    <definedName name="_52_0__123Graph_ACHAR" hidden="1">#REF!</definedName>
    <definedName name="_52_0__123Graph_BCHAR" hidden="1">#REF!</definedName>
    <definedName name="_52_0__123Graph_CCHAR" hidden="1">#REF!</definedName>
    <definedName name="_52_0__123Graph_DCHAR" hidden="1">#REF!</definedName>
    <definedName name="_52_123Graph_CCHAR" hidden="1">#REF!</definedName>
    <definedName name="_52_123Graph_DCHAR" hidden="1">#REF!</definedName>
    <definedName name="_52_123Graph_XCHAR" hidden="1">#REF!</definedName>
    <definedName name="_53________123Graph_BCHAR" hidden="1">#REF!</definedName>
    <definedName name="_53________123Graph_CCHART_1" hidden="1">[9]RD9501V!#REF!</definedName>
    <definedName name="_53___0__123Graph_DCHAR" hidden="1">#REF!</definedName>
    <definedName name="_53___123Graph_DCHART_1" hidden="1">#N/A</definedName>
    <definedName name="_53__123Graph_Aｸﾞﾗﾌ_4" hidden="1">[38]HQ!#REF!</definedName>
    <definedName name="_53__123Graph_Bｸﾞﾗﾌ_2" hidden="1">[21]A!$AO$24:$AO$32</definedName>
    <definedName name="_53__123Graph_Cｸﾞﾗﾌ_4" hidden="1">[12]HQ!#REF!</definedName>
    <definedName name="_53_0__123Graph_BCHAR" hidden="1">#REF!</definedName>
    <definedName name="_53_0__123Graph_DCHAR" hidden="1">#REF!</definedName>
    <definedName name="_53_0__123Graph_XCHAR" hidden="1">#REF!</definedName>
    <definedName name="_53_123Graph_BCHAR" hidden="1">#REF!</definedName>
    <definedName name="_54________123Graph_DCHART_1" hidden="1">[9]RD9501V!#REF!</definedName>
    <definedName name="_54______123Graph_XCHAR" hidden="1">#N/A</definedName>
    <definedName name="_54_____123Graph_BCHART_1" hidden="1">[7]RD9501V!#REF!</definedName>
    <definedName name="_54___0__123Graph_XCHAR" hidden="1">#REF!</definedName>
    <definedName name="_54___123Graph_CCHART_1" hidden="1">[9]RD9501V!#REF!</definedName>
    <definedName name="_54___123Graph_DCHART_1" hidden="1">#N/A</definedName>
    <definedName name="_54__123Graph_ACHART_1" hidden="1">[7]RD9501V!#REF!</definedName>
    <definedName name="_54__123Graph_Bｸﾞﾗﾌ_3" hidden="1">[21]A!$AO$38:$AO$44</definedName>
    <definedName name="_54__123Graph_CCHART_1" hidden="1">[7]RD9501V!#REF!</definedName>
    <definedName name="_54__123Graph_XCHART_1" hidden="1">[27]RD9501V!#REF!</definedName>
    <definedName name="_54_0__123Graph_BCHAR" hidden="1">#REF!</definedName>
    <definedName name="_54_0__123Graph_DCHAR" hidden="1">#REF!</definedName>
    <definedName name="_54_0__123Graph_XCHAR" hidden="1">#REF!</definedName>
    <definedName name="_54_123Graph_BCHAR" hidden="1">#REF!</definedName>
    <definedName name="_54_123Graph_CCHAR" hidden="1">#REF!</definedName>
    <definedName name="_55________123Graph_CCHAR" hidden="1">#REF!</definedName>
    <definedName name="_55________123Graph_XCHART_1" hidden="1">[9]RD9501V!#REF!</definedName>
    <definedName name="_55______123Graph_CCHAR" hidden="1">#REF!</definedName>
    <definedName name="_55____123Graph_ACHART_1" hidden="1">[18]RD9501V!#REF!</definedName>
    <definedName name="_55____123Graph_XCHART_1" hidden="1">#REF!</definedName>
    <definedName name="_55___0__123Graph_XCHAR" hidden="1">#REF!</definedName>
    <definedName name="_55___123Graph_BCHART_1" hidden="1">[9]RD9501V!#REF!</definedName>
    <definedName name="_55___123Graph_XCHART_1" hidden="1">#N/A</definedName>
    <definedName name="_55__123Graph_Aｸﾞﾗﾌ_1" hidden="1">[8]GSV目標!$B$4:$M$4</definedName>
    <definedName name="_55__123Graph_BCHART_1" hidden="1">[15]RD9501V!#REF!</definedName>
    <definedName name="_55__123Graph_Xｸﾞﾗﾌ_1" hidden="1">[35]A!$AB$10:$AE$10</definedName>
    <definedName name="_55_0__123Graph_ACHAR" hidden="1">#REF!</definedName>
    <definedName name="_55_0__123Graph_CCHAR" hidden="1">#REF!</definedName>
    <definedName name="_55_0__123Graph_XCHAR" hidden="1">#REF!</definedName>
    <definedName name="_55_123Graph_BCHAR" hidden="1">#REF!</definedName>
    <definedName name="_55_123Graph_DCHAR" hidden="1">#REF!</definedName>
    <definedName name="_552_0__123Graph_DCHAR" hidden="1">#REF!</definedName>
    <definedName name="_553_0__123Graph_DCHAR" hidden="1">#REF!</definedName>
    <definedName name="_554_0__123Graph_DCHAR" hidden="1">#REF!</definedName>
    <definedName name="_56_____123Graph_CCHART_1" hidden="1">[7]RD9501V!#REF!</definedName>
    <definedName name="_56___0__123Graph_XCHAR" hidden="1">#REF!</definedName>
    <definedName name="_56___123Graph_DCHART_1" hidden="1">[18]RD9501V!#REF!</definedName>
    <definedName name="_56__123Graph_BCHART_1" hidden="1">[32]RD9501V!#REF!</definedName>
    <definedName name="_56__123Graph_CCHART_1" hidden="1">[7]RD9501V!#REF!</definedName>
    <definedName name="_56__123Graph_DCHART_1" hidden="1">[17]RD9501V!#REF!</definedName>
    <definedName name="_56__123Graph_Xｸﾞﾗﾌ_2" hidden="1">[35]A!$AB$19:$AJ$19</definedName>
    <definedName name="_56_0__123Graph_BCHAR" hidden="1">#REF!</definedName>
    <definedName name="_56_0__123Graph_CCHAR" hidden="1">#REF!</definedName>
    <definedName name="_56_0__123Graph_XCHAR" hidden="1">#REF!</definedName>
    <definedName name="_56_123Graph_DCHAR" hidden="1">#REF!</definedName>
    <definedName name="_57________123Graph_DCHAR" hidden="1">#REF!</definedName>
    <definedName name="_57__123Graph_BCHART_1" hidden="1">[8]RD9501V!#REF!</definedName>
    <definedName name="_57__123Graph_Bｸﾞﾗﾌ_1" hidden="1">'[37]HE(他）'!$B$5:$M$5</definedName>
    <definedName name="_57__123Graph_Cｸﾞﾗﾌ_1" hidden="1">[16]GSV目標!$B$6:$M$6</definedName>
    <definedName name="_57__123Graph_Xｸﾞﾗﾌ_3" hidden="1">[35]A!$AB$37:$AH$37</definedName>
    <definedName name="_57_0__123Graph_CCHAR" hidden="1">#REF!</definedName>
    <definedName name="_57_0__123Graph_DCHAR" hidden="1">#REF!</definedName>
    <definedName name="_57_0__123Graph_XCHAR" hidden="1">#REF!</definedName>
    <definedName name="_57_123Graph_CCHAR" hidden="1">#REF!</definedName>
    <definedName name="_58______123Graph_XCHAR" hidden="1">#N/A</definedName>
    <definedName name="_58_____0__123Graph_ACHAR" hidden="1">#REF!</definedName>
    <definedName name="_58_____123Graph_DCHART_1" hidden="1">[7]RD9501V!#REF!</definedName>
    <definedName name="_58__123Graph_Aｸﾞﾗﾌ_2" hidden="1">[8]GSV目標!#REF!</definedName>
    <definedName name="_58__123Graph_Bｸﾞﾗﾌ_1" hidden="1">[17]GSV目標!$B$5:$M$5</definedName>
    <definedName name="_58__123Graph_DCHART_1" hidden="1">[7]RD9501V!#REF!</definedName>
    <definedName name="_58_0__123Graph_DCHAR" hidden="1">#REF!</definedName>
    <definedName name="_59________123Graph_XCHAR" hidden="1">#REF!</definedName>
    <definedName name="_59_______123Graph_BCHAR" hidden="1">#REF!</definedName>
    <definedName name="_59__123Graph_Aｸﾞﾗﾌ_3" hidden="1">[12]HQ!$E$7:$P$7</definedName>
    <definedName name="_59__123Graph_Cｸﾞﾗﾌ_2" hidden="1">[16]GSV目標!#REF!</definedName>
    <definedName name="_59_0__123Graph_XCHAR" hidden="1">#REF!</definedName>
    <definedName name="_59_123Graph_CCHAR" hidden="1">#REF!</definedName>
    <definedName name="_6______0__123Graph_CCHAR" hidden="1">#REF!</definedName>
    <definedName name="_6______123Graph_BCHAR" hidden="1">#REF!</definedName>
    <definedName name="_6_____123Graph_BCHART_1" hidden="1">[6]RD9501V!#REF!</definedName>
    <definedName name="_6____123Graph_ACHART_1" hidden="1">[9]RD9501V!#REF!</definedName>
    <definedName name="_6___0__123Graph_ACHAR" hidden="1">#N/A</definedName>
    <definedName name="_6___123Graph_ACHART_1" hidden="1">[9]RD9501V!#REF!</definedName>
    <definedName name="_6___123Graph_CCHART_1" hidden="1">[9]RD9501V!#REF!</definedName>
    <definedName name="_6__123Graph_ACHART_1" hidden="1">[7]RD9501V!#REF!</definedName>
    <definedName name="_6__123Graph_Aｸﾞﾗﾌ_3" hidden="1">[17]HQ!$E$7:$P$7</definedName>
    <definedName name="_6__123Graph_BCHART_1" hidden="1">[14]RD9501V!#REF!</definedName>
    <definedName name="_6__123Graph_CCHART_1" hidden="1">[15]RD9501V!#REF!</definedName>
    <definedName name="_6__123Graph_DCHART_1" hidden="1">#N/A</definedName>
    <definedName name="_6__123Graph_XCHART_1" hidden="1">[30]RD9501V!#REF!</definedName>
    <definedName name="_6_0__123Graph_ACHAR" hidden="1">#REF!</definedName>
    <definedName name="_6_123Graph_ACHAR" hidden="1">#REF!</definedName>
    <definedName name="_6_123Graph_BCHAR" hidden="1">#REF!</definedName>
    <definedName name="_6_123Graph_CCHAR" hidden="1">#REF!</definedName>
    <definedName name="_60______123Graph_XCHAR" hidden="1">#REF!</definedName>
    <definedName name="_60_____123Graph_XCHART_1" hidden="1">[7]RD9501V!#REF!</definedName>
    <definedName name="_60___123Graph_CCHART_1" hidden="1">[9]RD9501V!#REF!</definedName>
    <definedName name="_60___123Graph_DCHART_1" hidden="1">[9]RD9501V!#REF!</definedName>
    <definedName name="_60__123Graph_Bｸﾞﾗﾌ_2" hidden="1">'[37]HE(他）'!#REF!</definedName>
    <definedName name="_60__123Graph_CCHART_1" hidden="1">[7]RD9501V!#REF!</definedName>
    <definedName name="_60__123Graph_Cｸﾞﾗﾌ_3" hidden="1">[36]HQ!$E$9:$P$9</definedName>
    <definedName name="_60_0__123Graph_ACHAR" hidden="1">#REF!</definedName>
    <definedName name="_60_0__123Graph_CCHAR" hidden="1">#REF!</definedName>
    <definedName name="_60_0__123Graph_DCHAR" hidden="1">#REF!</definedName>
    <definedName name="_60_123Graph_ACHAR" hidden="1">#REF!</definedName>
    <definedName name="_60_123Graph_XCHAR" hidden="1">#REF!</definedName>
    <definedName name="_600_0__123Graph_XCHAR" hidden="1">#REF!</definedName>
    <definedName name="_601_0__123Graph_XCHAR" hidden="1">#REF!</definedName>
    <definedName name="_602_0__123Graph_XCHAR" hidden="1">#REF!</definedName>
    <definedName name="_61_____0__123Graph_BCHAR" hidden="1">#REF!</definedName>
    <definedName name="_61__123Graph_ACHART_1" hidden="1">#N/A</definedName>
    <definedName name="_61__123Graph_Bｸﾞﾗﾌ_3" hidden="1">[38]HQ!$E$8:$P$8</definedName>
    <definedName name="_61__123Graph_CCHART_1" hidden="1">[32]RD9501V!#REF!</definedName>
    <definedName name="_61_0__123Graph_ACHAR" hidden="1">#REF!</definedName>
    <definedName name="_62_______123Graph_ACHART_1" hidden="1">[39]RD9501V!#REF!</definedName>
    <definedName name="_62______0__123Graph_ACHAR" hidden="1">#REF!</definedName>
    <definedName name="_62___123Graph_XCHART_1" hidden="1">#N/A</definedName>
    <definedName name="_62__123Graph_Aｸﾞﾗﾌ_1" hidden="1">'[16]HE(他）'!$B$4:$M$4</definedName>
    <definedName name="_62__123Graph_Aｸﾞﾗﾌ_4" hidden="1">[12]HQ!#REF!</definedName>
    <definedName name="_62__123Graph_Bｸﾞﾗﾌ_3" hidden="1">#REF!</definedName>
    <definedName name="_62__123Graph_Cｸﾞﾗﾌ_4" hidden="1">[36]HQ!#REF!</definedName>
    <definedName name="_62__123Graph_XCHART_1" hidden="1">[7]RD9501V!#REF!</definedName>
    <definedName name="_62_0__123Graph_ACHAR" hidden="1">#REF!</definedName>
    <definedName name="_63_______123Graph_BCHART_1" hidden="1">[39]RD9501V!#REF!</definedName>
    <definedName name="_63______0__123Graph_BCHAR" hidden="1">#REF!</definedName>
    <definedName name="_63____123Graph_BCHART_1" hidden="1">[18]RD9501V!#REF!</definedName>
    <definedName name="_63__123Graph_Bｸﾞﾗﾌ_4" hidden="1">[38]HQ!#REF!</definedName>
    <definedName name="_63__123Graph_XCHART_1" hidden="1">[7]RD9501V!#REF!</definedName>
    <definedName name="_63_0__123Graph_BCHAR" hidden="1">#REF!</definedName>
    <definedName name="_63_0__123Graph_DCHAR" hidden="1">#REF!</definedName>
    <definedName name="_63_0__123Graph_XCHAR" hidden="1">#REF!</definedName>
    <definedName name="_63_123Graph_DCHAR" hidden="1">#REF!</definedName>
    <definedName name="_64_______123Graph_CCHART_1" hidden="1">[39]RD9501V!#REF!</definedName>
    <definedName name="_64______0__123Graph_CCHAR" hidden="1">#REF!</definedName>
    <definedName name="_64_____0__123Graph_CCHAR" hidden="1">#REF!</definedName>
    <definedName name="_64___0__123Graph_ACHAR" hidden="1">#REF!</definedName>
    <definedName name="_64___123Graph_XCHART_1" hidden="1">[18]RD9501V!#REF!</definedName>
    <definedName name="_64__123Graph_XCHART_1" hidden="1">[17]RD9501V!#REF!</definedName>
    <definedName name="_64__123Graph_Xｸﾞﾗﾌ_1" hidden="1">'[16]13年度発生売上予算'!$AB$10:$AE$10</definedName>
    <definedName name="_64_0__123Graph_BCHAR" hidden="1">#REF!</definedName>
    <definedName name="_64_0__123Graph_CCHAR" hidden="1">#REF!</definedName>
    <definedName name="_64_0__123Graph_DCHAR" hidden="1">#REF!</definedName>
    <definedName name="_64_0__123Graph_XCHAR" hidden="1">#REF!</definedName>
    <definedName name="_64_123Graph_DCHAR" hidden="1">#REF!</definedName>
    <definedName name="_65_______123Graph_DCHART_1" hidden="1">[39]RD9501V!#REF!</definedName>
    <definedName name="_65______0__123Graph_DCHAR" hidden="1">#REF!</definedName>
    <definedName name="_65______123Graph_DCHAR" hidden="1">#REF!</definedName>
    <definedName name="_65___123Graph_DCHART_1" hidden="1">[9]RD9501V!#REF!</definedName>
    <definedName name="_65__123Graph_Bｸﾞﾗﾌ_4" hidden="1">'[37]HE(他）'!#REF!</definedName>
    <definedName name="_65_0__123Graph_BCHAR" hidden="1">#REF!</definedName>
    <definedName name="_65_0__123Graph_CCHAR" hidden="1">#REF!</definedName>
    <definedName name="_65_123Graph_BCHAR" hidden="1">#REF!</definedName>
    <definedName name="_65_123Graph_CCHAR" hidden="1">#REF!</definedName>
    <definedName name="_66_______123Graph_XCHART_1" hidden="1">[39]RD9501V!#REF!</definedName>
    <definedName name="_66______0__123Graph_XCHAR" hidden="1">#REF!</definedName>
    <definedName name="_66___0__123Graph_BCHAR" hidden="1">#REF!</definedName>
    <definedName name="_66___123Graph_XCHART_1" hidden="1">[9]RD9501V!#REF!</definedName>
    <definedName name="_66__123Graph_DCHART_1" hidden="1">[7]RD9501V!#REF!</definedName>
    <definedName name="_66__123Graph_Xｸﾞﾗﾌ_2" hidden="1">[8]GSV目標!#REF!</definedName>
    <definedName name="_66_0__123Graph_CCHAR" hidden="1">#REF!</definedName>
    <definedName name="_66_123Graph_ACHAR" hidden="1">#REF!</definedName>
    <definedName name="_67________0__123Graph_ACHAR" hidden="1">#REF!</definedName>
    <definedName name="_67_______123Graph_CCHAR" hidden="1">#REF!</definedName>
    <definedName name="_67_____0__123Graph_DCHAR" hidden="1">#REF!</definedName>
    <definedName name="_67__123Graph_ACHART_1" hidden="1">#N/A</definedName>
    <definedName name="_67__123Graph_Aｸﾞﾗﾌ_2" hidden="1">'[16]HE(他）'!#REF!</definedName>
    <definedName name="_67__123Graph_CCHART_1" hidden="1">[8]RD9501V!#REF!</definedName>
    <definedName name="_67__123Graph_Xｸﾞﾗﾌ_3" hidden="1">'[16]13年度発生売上予算'!$AB$37:$AH$37</definedName>
    <definedName name="_67_0__123Graph_CCHAR" hidden="1">#REF!</definedName>
    <definedName name="_67_0__123Graph_DCHAR" hidden="1">#REF!</definedName>
    <definedName name="_67_123Graph_CCHAR" hidden="1">#REF!</definedName>
    <definedName name="_68________0__123Graph_BCHAR" hidden="1">#REF!</definedName>
    <definedName name="_68_______123Graph_ACHAR" hidden="1">#REF!</definedName>
    <definedName name="_68___0__123Graph_CCHAR" hidden="1">#REF!</definedName>
    <definedName name="_68__123Graph_Aｸﾞﾗﾌ_1" hidden="1">'[15]HE(他）'!$B$4:$M$4</definedName>
    <definedName name="_68__123Graph_Aｸﾞﾗﾌ_3" hidden="1">#REF!</definedName>
    <definedName name="_68__123Graph_BCHART_1" hidden="1">[7]RD9501V!#REF!</definedName>
    <definedName name="_68__123Graph_Cｸﾞﾗﾌ_1" hidden="1">[17]GSV目標!$B$6:$M$6</definedName>
    <definedName name="_68_0__123Graph_ACHAR" hidden="1">#REF!</definedName>
    <definedName name="_68_0__123Graph_CCHAR" hidden="1">#REF!</definedName>
    <definedName name="_68_0__123Graph_XCHAR" hidden="1">#REF!</definedName>
    <definedName name="_68_123Graph_XCHAR" hidden="1">#REF!</definedName>
    <definedName name="_69________0__123Graph_CCHAR" hidden="1">#REF!</definedName>
    <definedName name="_69____123Graph_ACHART_1" hidden="1">[7]RD9501V!#REF!</definedName>
    <definedName name="_69__123Graph_Bｸﾞﾗﾌ_1" hidden="1">[8]GSV目標!$B$5:$M$5</definedName>
    <definedName name="_69__123Graph_CCHART_1" hidden="1">[15]RD9501V!#REF!</definedName>
    <definedName name="_69__123Graph_Xｸﾞﾗﾌ_4" hidden="1">[12]HQ!#REF!</definedName>
    <definedName name="_69_0__123Graph_DCHAR" hidden="1">#REF!</definedName>
    <definedName name="_69_0__123Graph_XCHAR" hidden="1">#REF!</definedName>
    <definedName name="_69_123Graph_ACHAR" hidden="1">#REF!</definedName>
    <definedName name="_69_123Graph_XCHAR" hidden="1">#REF!</definedName>
    <definedName name="_7______0__123Graph_DCHAR" hidden="1">#REF!</definedName>
    <definedName name="_7______123Graph_ACHAR" hidden="1">#REF!</definedName>
    <definedName name="_7______123Graph_BCHAR" hidden="1">#REF!</definedName>
    <definedName name="_7______123Graph_DCHAR" hidden="1">#REF!</definedName>
    <definedName name="_7_____123Graph_CCHART_1" hidden="1">[6]RD9501V!#REF!</definedName>
    <definedName name="_7____123Graph_BCHART_1" hidden="1">[9]RD9501V!#REF!</definedName>
    <definedName name="_7___0__123Graph_ACHAR" hidden="1">#N/A</definedName>
    <definedName name="_7___123Graph_ACHART_1" hidden="1">[9]RD9501V!#REF!</definedName>
    <definedName name="_7__123Graph_ACHART_1" hidden="1">[7]RD9501V!#REF!</definedName>
    <definedName name="_7__123Graph_AChart_2" hidden="1">#REF!</definedName>
    <definedName name="_7__123Graph_Aｸﾞﾗﾌ_1" hidden="1">[12]GSV目標!$B$4:$M$4</definedName>
    <definedName name="_7__123Graph_Aｸﾞﾗﾌ_4" hidden="1">[17]HQ!#REF!</definedName>
    <definedName name="_7__123Graph_CCHART_1" hidden="1">[7]RD9501V!#REF!</definedName>
    <definedName name="_7__123Graph_XCHART_1" hidden="1">#N/A</definedName>
    <definedName name="_7_0__123Graph_ACHAR" hidden="1">#REF!</definedName>
    <definedName name="_7_0__123Graph_BCHAR" hidden="1">#REF!</definedName>
    <definedName name="_7_123Graph_ACHAR" hidden="1">#REF!</definedName>
    <definedName name="_7_123Graph_BCHAR" hidden="1">#REF!</definedName>
    <definedName name="_7_123Graph_CCHAR" hidden="1">#REF!</definedName>
    <definedName name="_7_123Graph_DCHAR" hidden="1">#REF!</definedName>
    <definedName name="_70________0__123Graph_DCHAR" hidden="1">#REF!</definedName>
    <definedName name="_70_______123Graph_BCHAR" hidden="1">#REF!</definedName>
    <definedName name="_70_____0__123Graph_XCHAR" hidden="1">#REF!</definedName>
    <definedName name="_70___0__123Graph_DCHAR" hidden="1">#REF!</definedName>
    <definedName name="_70___123Graph_DCHART_1" hidden="1">[9]RD9501V!#REF!</definedName>
    <definedName name="_70___123Graph_XCHART_1" hidden="1">[9]RD9501V!#REF!</definedName>
    <definedName name="_70__123Graph_ACHART_1" hidden="1">#N/A</definedName>
    <definedName name="_70__123Graph_Aｸﾞﾗﾌ_2" hidden="1">'[15]HE(他）'!#REF!</definedName>
    <definedName name="_70__123Graph_Cｸﾞﾗﾌ_2" hidden="1">[17]GSV目標!#REF!</definedName>
    <definedName name="_70__123Graph_XCHART_1" hidden="1">[7]RD9501V!#REF!</definedName>
    <definedName name="_70_0__123Graph_DCHAR" hidden="1">#REF!</definedName>
    <definedName name="_70_0__123Graph_XCHAR" hidden="1">#REF!</definedName>
    <definedName name="_71________0__123Graph_XCHAR" hidden="1">#REF!</definedName>
    <definedName name="_71____123Graph_BCHART_1" hidden="1">[7]RD9501V!#REF!</definedName>
    <definedName name="_71____123Graph_CCHART_1" hidden="1">[18]RD9501V!#REF!</definedName>
    <definedName name="_71___0__123Graph_ACHAR" hidden="1">#REF!</definedName>
    <definedName name="_71__123Graph_Aｸﾞﾗﾌ_1" hidden="1">'[16]HE(他）'!$B$4:$M$4</definedName>
    <definedName name="_71__123Graph_Aｸﾞﾗﾌ_3" hidden="1">#REF!</definedName>
    <definedName name="_71__123Graph_Cｸﾞﾗﾌ_1" hidden="1">'[37]HE(他）'!$B$6:$M$6</definedName>
    <definedName name="_71__123Graph_Cｸﾞﾗﾌ_3" hidden="1">[38]HQ!$E$9:$P$9</definedName>
    <definedName name="_71__123Graph_XCHART_1" hidden="1">[32]RD9501V!#REF!</definedName>
    <definedName name="_71_0__123Graph_DCHAR" hidden="1">#REF!</definedName>
    <definedName name="_72_______123Graph_CCHAR" hidden="1">#REF!</definedName>
    <definedName name="_72___0__123Graph_XCHAR" hidden="1">#REF!</definedName>
    <definedName name="_72__123Graph_ACHART_1" hidden="1">[7]RD9501V!#REF!</definedName>
    <definedName name="_72__123Graph_Aｸﾞﾗﾌ_2" hidden="1">'[16]HE(他）'!#REF!</definedName>
    <definedName name="_72__123Graph_Bｸﾞﾗﾌ_2" hidden="1">[8]GSV目標!#REF!</definedName>
    <definedName name="_72__123Graph_XCHART_1" hidden="1">[7]RD9501V!#REF!</definedName>
    <definedName name="_72__123Graph_Xｸﾞﾗﾌ_2" hidden="1">[16]GSV目標!#REF!</definedName>
    <definedName name="_72_0__123Graph_BCHAR" hidden="1">#REF!</definedName>
    <definedName name="_72_0__123Graph_DCHAR" hidden="1">#REF!</definedName>
    <definedName name="_72_0__123Graph_XCHAR" hidden="1">#REF!</definedName>
    <definedName name="_73____123Graph_CCHART_1" hidden="1">[7]RD9501V!#REF!</definedName>
    <definedName name="_73___0__123Graph_ACHAR" hidden="1">#REF!</definedName>
    <definedName name="_73___0__123Graph_BCHAR" hidden="1">#REF!</definedName>
    <definedName name="_73__123Graph_Aｸﾞﾗﾌ_1" hidden="1">[8]GSV目標!$B$4:$M$4</definedName>
    <definedName name="_73__123Graph_Aｸﾞﾗﾌ_3" hidden="1">#REF!</definedName>
    <definedName name="_73__123Graph_Aｸﾞﾗﾌ_4" hidden="1">'[15]HE(他）'!#REF!</definedName>
    <definedName name="_73__123Graph_Bｸﾞﾗﾌ_3" hidden="1">[12]HQ!$E$8:$P$8</definedName>
    <definedName name="_73__123Graph_Cｸﾞﾗﾌ_4" hidden="1">[38]HQ!#REF!</definedName>
    <definedName name="_73__123Graph_Xｸﾞﾗﾌ_1" hidden="1">[21]A!$AB$10:$AE$10</definedName>
    <definedName name="_73_0__123Graph_XCHAR" hidden="1">#REF!</definedName>
    <definedName name="_74_______123Graph_DCHAR" hidden="1">#REF!</definedName>
    <definedName name="_74______123Graph_ACHAR" hidden="1">#REF!</definedName>
    <definedName name="_74__123Graph_Aｸﾞﾗﾌ_2" hidden="1">[8]GSV目標!#REF!</definedName>
    <definedName name="_74__123Graph_Aｸﾞﾗﾌ_4" hidden="1">'[16]HE(他）'!#REF!</definedName>
    <definedName name="_74__123Graph_Cｸﾞﾗﾌ_2" hidden="1">'[37]HE(他）'!#REF!</definedName>
    <definedName name="_74__123Graph_Xｸﾞﾗﾌ_2" hidden="1">[21]A!$AB$19:$AJ$19</definedName>
    <definedName name="_74__123Graph_Xｸﾞﾗﾌ_4" hidden="1">[36]HQ!#REF!</definedName>
    <definedName name="_74_0__123Graph_XCHAR" hidden="1">#REF!</definedName>
    <definedName name="_75_______123Graph_DCHAR" hidden="1">#REF!</definedName>
    <definedName name="_75______123Graph_XCHAR" hidden="1">#REF!</definedName>
    <definedName name="_75____123Graph_DCHART_1" hidden="1">[7]RD9501V!#REF!</definedName>
    <definedName name="_75___0__123Graph_BCHAR" hidden="1">#REF!</definedName>
    <definedName name="_75___0__123Graph_CCHAR" hidden="1">#REF!</definedName>
    <definedName name="_75__123Graph_ACHART_1" hidden="1">[7]RD9501V!#REF!</definedName>
    <definedName name="_75__123Graph_Aｸﾞﾗﾌ_3" hidden="1">[12]HQ!$E$7:$P$7</definedName>
    <definedName name="_75__123Graph_Xｸﾞﾗﾌ_3" hidden="1">[21]A!$AB$37:$AH$37</definedName>
    <definedName name="_75_123Graph_DCHAR" hidden="1">#REF!</definedName>
    <definedName name="_76_______123Graph_XCHAR" hidden="1">#REF!</definedName>
    <definedName name="_76___123Graph_ACHART_1" hidden="1">[9]RD9501V!#REF!</definedName>
    <definedName name="_76__123Graph_Aｸﾞﾗﾌ_4" hidden="1">[12]HQ!#REF!</definedName>
    <definedName name="_76__123Graph_Bｸﾞﾗﾌ_4" hidden="1">[12]HQ!#REF!</definedName>
    <definedName name="_76__123Graph_Cｸﾞﾗﾌ_3" hidden="1">#REF!</definedName>
    <definedName name="_76_0__123Graph_CCHAR" hidden="1">#REF!</definedName>
    <definedName name="_77____123Graph_XCHART_1" hidden="1">[7]RD9501V!#REF!</definedName>
    <definedName name="_77___0__123Graph_CCHAR" hidden="1">#REF!</definedName>
    <definedName name="_77___0__123Graph_DCHAR" hidden="1">#REF!</definedName>
    <definedName name="_77__123Graph_DCHART_1" hidden="1">[8]RD9501V!#REF!</definedName>
    <definedName name="_77_123Graph_BCHAR" hidden="1">#REF!</definedName>
    <definedName name="_78_______0__123Graph_ACHAR" hidden="1">#REF!</definedName>
    <definedName name="_78___123Graph_Aｸﾞﾗﾌ_1" hidden="1">#REF!</definedName>
    <definedName name="_78__123Graph_BCHART_1" hidden="1">#N/A</definedName>
    <definedName name="_78_0__123Graph_ACHAR" hidden="1">#REF!</definedName>
    <definedName name="_78_123Graph_BCHAR" hidden="1">#REF!</definedName>
    <definedName name="_79_______0__123Graph_BCHAR" hidden="1">#REF!</definedName>
    <definedName name="_79_____0__123Graph_ACHAR" hidden="1">#REF!</definedName>
    <definedName name="_79____123Graph_DCHART_1" hidden="1">[18]RD9501V!#REF!</definedName>
    <definedName name="_79___0__123Graph_DCHAR" hidden="1">#REF!</definedName>
    <definedName name="_79___0__123Graph_XCHAR" hidden="1">#REF!</definedName>
    <definedName name="_79__123Graph_BCHART_1" hidden="1">#N/A</definedName>
    <definedName name="_79__123Graph_Bｸﾞﾗﾌ_1" hidden="1">'[15]HE(他）'!$B$5:$M$5</definedName>
    <definedName name="_79__123Graph_Cｸﾞﾗﾌ_4" hidden="1">'[37]HE(他）'!#REF!</definedName>
    <definedName name="_79_123Graph_BCHAR" hidden="1">#REF!</definedName>
    <definedName name="_79_123Graph_CCHAR" hidden="1">#REF!</definedName>
    <definedName name="_79_123Graph_XCHAR" hidden="1">#REF!</definedName>
    <definedName name="_8______0__123Graph_XCHAR" hidden="1">#REF!</definedName>
    <definedName name="_8______123Graph_ACHAR" hidden="1">#REF!</definedName>
    <definedName name="_8_____123Graph_DCHART_1" hidden="1">[6]RD9501V!#REF!</definedName>
    <definedName name="_8____123Graph_CCHART_1" hidden="1">[9]RD9501V!#REF!</definedName>
    <definedName name="_8___0__123Graph_BCHAR" hidden="1">#N/A</definedName>
    <definedName name="_8___123Graph_ACHART_1" hidden="1">[10]RD9501V!#REF!</definedName>
    <definedName name="_8___123Graph_BCHART_1" hidden="1">[9]RD9501V!#REF!</definedName>
    <definedName name="_8___123Graph_DCHART_1" hidden="1">[9]RD9501V!#REF!</definedName>
    <definedName name="_8__123Graph_ACHART_1" hidden="1">[13]RD9501V!#REF!</definedName>
    <definedName name="_8__123Graph_AChart_3" hidden="1">#REF!</definedName>
    <definedName name="_8__123Graph_Aｸﾞﾗﾌ_2" hidden="1">[12]GSV目標!#REF!</definedName>
    <definedName name="_8__123Graph_BCHART_1" hidden="1">[20]RD9501V!#REF!</definedName>
    <definedName name="_8__123Graph_CCHART_1" hidden="1">[14]RD9501V!#REF!</definedName>
    <definedName name="_8__123Graph_DCHART_1" hidden="1">[20]RD9501V!#REF!</definedName>
    <definedName name="_8_0__123Graph_ACHAR" hidden="1">#REF!</definedName>
    <definedName name="_8_0__123Graph_CCHAR" hidden="1">#REF!</definedName>
    <definedName name="_8_123Graph_ACHAR" hidden="1">#REF!</definedName>
    <definedName name="_8_123Graph_BCHAR" hidden="1">#REF!</definedName>
    <definedName name="_8_123Graph_DCHAR" hidden="1">#REF!</definedName>
    <definedName name="_80_______0__123Graph_CCHAR" hidden="1">#REF!</definedName>
    <definedName name="_80_____0__123Graph_BCHAR" hidden="1">#REF!</definedName>
    <definedName name="_80___123Graph_Aｸﾞﾗﾌ_2" hidden="1">#REF!</definedName>
    <definedName name="_80___123Graph_XCHART_1" hidden="1">[9]RD9501V!#REF!</definedName>
    <definedName name="_80__123Graph_BCHART_1" hidden="1">[7]RD9501V!#REF!</definedName>
    <definedName name="_80__123Graph_Bｸﾞﾗﾌ_1" hidden="1">'[16]HE(他）'!$B$5:$M$5</definedName>
    <definedName name="_80_0__123Graph_BCHAR" hidden="1">#REF!</definedName>
    <definedName name="_80_0__123Graph_DCHAR" hidden="1">#REF!</definedName>
    <definedName name="_80_0__123Graph_XCHAR" hidden="1">#REF!</definedName>
    <definedName name="_81_______0__123Graph_DCHAR" hidden="1">#REF!</definedName>
    <definedName name="_81_____0__123Graph_CCHAR" hidden="1">#REF!</definedName>
    <definedName name="_81___0__123Graph_XCHAR" hidden="1">#REF!</definedName>
    <definedName name="_81__123Graph_Bｸﾞﾗﾌ_1" hidden="1">'[16]HE(他）'!$B$5:$M$5</definedName>
    <definedName name="_81__123Graph_Bｸﾞﾗﾌ_2" hidden="1">'[15]HE(他）'!#REF!</definedName>
    <definedName name="_81__123Graph_XCHART_1" hidden="1">[8]RD9501V!#REF!</definedName>
    <definedName name="_81_0__123Graph_ACHAR" hidden="1">#REF!</definedName>
    <definedName name="_81_123Graph_DCHAR" hidden="1">#REF!</definedName>
    <definedName name="_82_______0__123Graph_XCHAR" hidden="1">#REF!</definedName>
    <definedName name="_82_____0__123Graph_DCHAR" hidden="1">#REF!</definedName>
    <definedName name="_82___123Graph_Aｸﾞﾗﾌ_3" hidden="1">#REF!</definedName>
    <definedName name="_82__123Graph_BCHART_1" hidden="1">[7]RD9501V!#REF!</definedName>
    <definedName name="_82__123Graph_Bｸﾞﾗﾌ_2" hidden="1">'[16]HE(他）'!#REF!</definedName>
    <definedName name="_82__123Graph_Bｸﾞﾗﾌ_3" hidden="1">#REF!</definedName>
    <definedName name="_82__123Graph_CCHART_1" hidden="1">[7]RD9501V!#REF!</definedName>
    <definedName name="_82_0__123Graph_ACHAR" hidden="1">#REF!</definedName>
    <definedName name="_82_0__123Graph_CCHAR" hidden="1">#REF!</definedName>
    <definedName name="_83_______123Graph_XCHAR" hidden="1">#REF!</definedName>
    <definedName name="_83_____0__123Graph_XCHAR" hidden="1">#REF!</definedName>
    <definedName name="_83__123Graph_Bｸﾞﾗﾌ_1" hidden="1">[8]GSV目標!$B$5:$M$5</definedName>
    <definedName name="_83__123Graph_Bｸﾞﾗﾌ_3" hidden="1">#REF!</definedName>
    <definedName name="_83__123Graph_Cｸﾞﾗﾌ_1" hidden="1">[8]GSV目標!$B$6:$M$6</definedName>
    <definedName name="_83__123Graph_DCHART_1" hidden="1">[15]RD9501V!#REF!</definedName>
    <definedName name="_83__123Graph_Xｸﾞﾗﾌ_2" hidden="1">[17]GSV目標!#REF!</definedName>
    <definedName name="_84______123Graph_BCHAR" hidden="1">#REF!</definedName>
    <definedName name="_84_____123Graph_ACHART_1" hidden="1">[9]RD9501V!#REF!</definedName>
    <definedName name="_84__123Graph_Bｸﾞﾗﾌ_2" hidden="1">[8]GSV目標!#REF!</definedName>
    <definedName name="_84__123Graph_Bｸﾞﾗﾌ_4" hidden="1">'[15]HE(他）'!#REF!</definedName>
    <definedName name="_84_0__123Graph_BCHAR" hidden="1">#REF!</definedName>
    <definedName name="_84_0__123Graph_DCHAR" hidden="1">#REF!</definedName>
    <definedName name="_84_0__123Graph_XCHAR" hidden="1">#REF!</definedName>
    <definedName name="_85______123Graph_ACHAR" hidden="1">#REF!</definedName>
    <definedName name="_85_____123Graph_BCHART_1" hidden="1">[9]RD9501V!#REF!</definedName>
    <definedName name="_85__123Graph_Bｸﾞﾗﾌ_2" hidden="1">'[16]HE(他）'!#REF!</definedName>
    <definedName name="_85__123Graph_Bｸﾞﾗﾌ_3" hidden="1">[12]HQ!$E$8:$P$8</definedName>
    <definedName name="_85__123Graph_CCHART_1" hidden="1">[7]RD9501V!#REF!</definedName>
    <definedName name="_85__123Graph_Xｸﾞﾗﾌ_4" hidden="1">[38]HQ!#REF!</definedName>
    <definedName name="_85_0__123Graph_BCHAR" hidden="1">#REF!</definedName>
    <definedName name="_85_123Graph_ACHAR" hidden="1">#REF!</definedName>
    <definedName name="_85_123Graph_XCHAR" hidden="1">#REF!</definedName>
    <definedName name="_86_____123Graph_CCHART_1" hidden="1">[9]RD9501V!#REF!</definedName>
    <definedName name="_86___123Graph_ACHART_1" hidden="1">[7]RD9501V!#REF!</definedName>
    <definedName name="_86___123Graph_BCHART_1" hidden="1">[9]RD9501V!#REF!</definedName>
    <definedName name="_86__123Graph_Bｸﾞﾗﾌ_3" hidden="1">#REF!</definedName>
    <definedName name="_86__123Graph_Bｸﾞﾗﾌ_4" hidden="1">[12]HQ!#REF!</definedName>
    <definedName name="_86__123Graph_Cｸﾞﾗﾌ_2" hidden="1">[8]GSV目標!#REF!</definedName>
    <definedName name="_86_0__123Graph_XCHAR" hidden="1">#REF!</definedName>
    <definedName name="_87______123Graph_BCHAR" hidden="1">#REF!</definedName>
    <definedName name="_87_____123Graph_DCHART_1" hidden="1">[9]RD9501V!#REF!</definedName>
    <definedName name="_87____123Graph_XCHART_1" hidden="1">[18]RD9501V!#REF!</definedName>
    <definedName name="_87__123Graph_Cｸﾞﾗﾌ_3" hidden="1">[12]HQ!$E$9:$P$9</definedName>
    <definedName name="_87__123Graph_XCHART_1" hidden="1">[15]RD9501V!#REF!</definedName>
    <definedName name="_87_0__123Graph_CCHAR" hidden="1">#REF!</definedName>
    <definedName name="_88_____123Graph_XCHART_1" hidden="1">[9]RD9501V!#REF!</definedName>
    <definedName name="_88___123Graph_BCHART_1" hidden="1">[7]RD9501V!#REF!</definedName>
    <definedName name="_88___123Graph_Bｸﾞﾗﾌ_1" hidden="1">#REF!</definedName>
    <definedName name="_88__123Graph_Xｸﾞﾗﾌ_1" hidden="1">'[40]13年度発生売上予算'!$AB$10:$AE$10</definedName>
    <definedName name="_88_0__123Graph_CCHAR" hidden="1">#REF!</definedName>
    <definedName name="_88_123Graph_CCHAR" hidden="1">#REF!</definedName>
    <definedName name="_89______123Graph_CCHAR" hidden="1">#REF!</definedName>
    <definedName name="_89_____0__123Graph_ACHAR" hidden="1">#REF!</definedName>
    <definedName name="_89__123Graph_CCHART_1" hidden="1">#N/A</definedName>
    <definedName name="_89_0__123Graph_ACHAR" hidden="1">#REF!</definedName>
    <definedName name="_89_123Graph_CCHAR" hidden="1">#REF!</definedName>
    <definedName name="_9_" hidden="1">#REF!</definedName>
    <definedName name="_9______123Graph_ACHAR" hidden="1">#REF!</definedName>
    <definedName name="_9______123Graph_BCHAR" hidden="1">#REF!</definedName>
    <definedName name="_9______123Graph_CCHAR" hidden="1">#REF!</definedName>
    <definedName name="_9______123Graph_XCHAR" hidden="1">#REF!</definedName>
    <definedName name="_9_____123Graph_XCHART_1" hidden="1">[6]RD9501V!#REF!</definedName>
    <definedName name="_9____123Graph_ACHART_1" hidden="1">[8]RD9501V!#REF!</definedName>
    <definedName name="_9____123Graph_DCHART_1" hidden="1">[9]RD9501V!#REF!</definedName>
    <definedName name="_9___0__123Graph_ACHAR" hidden="1">#REF!</definedName>
    <definedName name="_9___0__123Graph_BCHAR" hidden="1">#N/A</definedName>
    <definedName name="_9___123Graph_ACHART_1" hidden="1">[9]RD9501V!#REF!</definedName>
    <definedName name="_9___123Graph_CCHART_1" hidden="1">[9]RD9501V!#REF!</definedName>
    <definedName name="_9__123Graph_AChart_4" hidden="1">#REF!</definedName>
    <definedName name="_9__123Graph_Aｸﾞﾗﾌ_1" hidden="1">[12]GSV目標!$B$4:$M$4</definedName>
    <definedName name="_9__123Graph_Aｸﾞﾗﾌ_3" hidden="1">[11]HQ!$E$7:$P$7</definedName>
    <definedName name="_9__123Graph_Bｸﾞﾗﾌ_1" hidden="1">[12]GSV目標!$B$5:$M$5</definedName>
    <definedName name="_9__123Graph_DCHART_1" hidden="1">[7]RD9501V!#REF!</definedName>
    <definedName name="_9__123Graph_XCHART_1" hidden="1">[20]RD9501V!#REF!</definedName>
    <definedName name="_9_0__123Graph_BCHAR" hidden="1">#REF!</definedName>
    <definedName name="_9_0__123Graph_DCHAR" hidden="1">#REF!</definedName>
    <definedName name="_9_123Graph_BCHAR" hidden="1">#REF!</definedName>
    <definedName name="_9_123Graph_CCHAR" hidden="1">#REF!</definedName>
    <definedName name="_9_123Graph_DCHAR" hidden="1">#REF!</definedName>
    <definedName name="_9_123Graph_XCHAR" hidden="1">#REF!</definedName>
    <definedName name="_90_____0__123Graph_BCHAR" hidden="1">#REF!</definedName>
    <definedName name="_90___123Graph_Bｸﾞﾗﾌ_2" hidden="1">#REF!</definedName>
    <definedName name="_90___123Graph_CCHART_1" hidden="1">[7]RD9501V!#REF!</definedName>
    <definedName name="_90__123Graph_ACHART_1" hidden="1">[7]RD9501V!#REF!</definedName>
    <definedName name="_90__123Graph_CCHART_1" hidden="1">#N/A</definedName>
    <definedName name="_90__123Graph_Cｸﾞﾗﾌ_1" hidden="1">'[15]HE(他）'!$B$6:$M$6</definedName>
    <definedName name="_90__123Graph_Cｸﾞﾗﾌ_4" hidden="1">[12]HQ!#REF!</definedName>
    <definedName name="_90__123Graph_DCHART_1" hidden="1">[7]RD9501V!#REF!</definedName>
    <definedName name="_90_0__123Graph_ACHAR" hidden="1">#REF!</definedName>
    <definedName name="_90_0__123Graph_DCHAR" hidden="1">#REF!</definedName>
    <definedName name="_91______123Graph_DCHAR" hidden="1">#REF!</definedName>
    <definedName name="_91_____0__123Graph_ACHAR" hidden="1">#REF!</definedName>
    <definedName name="_91_____0__123Graph_CCHAR" hidden="1">#REF!</definedName>
    <definedName name="_91__123Graph_Aｸﾞﾗﾌ_1" hidden="1">[8]GSV目標!$B$4:$M$4</definedName>
    <definedName name="_91__123Graph_Bｸﾞﾗﾌ_4" hidden="1">'[16]HE(他）'!#REF!</definedName>
    <definedName name="_91__123Graph_Cｸﾞﾗﾌ_1" hidden="1">'[16]HE(他）'!$B$6:$M$6</definedName>
    <definedName name="_91__123Graph_Xｸﾞﾗﾌ_2" hidden="1">'[37]HE(他）'!#REF!</definedName>
    <definedName name="_91_0__123Graph_DCHAR" hidden="1">#REF!</definedName>
    <definedName name="_92_____0__123Graph_DCHAR" hidden="1">#REF!</definedName>
    <definedName name="_92___123Graph_Bｸﾞﾗﾌ_3" hidden="1">#REF!</definedName>
    <definedName name="_92___123Graph_DCHART_1" hidden="1">[7]RD9501V!#REF!</definedName>
    <definedName name="_92__123Graph_CCHART_1" hidden="1">[7]RD9501V!#REF!</definedName>
    <definedName name="_92__123Graph_Cｸﾞﾗﾌ_2" hidden="1">'[15]HE(他）'!#REF!</definedName>
    <definedName name="_92__123Graph_Xｸﾞﾗﾌ_3" hidden="1">'[40]13年度発生売上予算'!$AB$37:$AH$37</definedName>
    <definedName name="_93______123Graph_XCHAR" hidden="1">#REF!</definedName>
    <definedName name="_93_____0__123Graph_XCHAR" hidden="1">#REF!</definedName>
    <definedName name="_93__123Graph_Cｸﾞﾗﾌ_1" hidden="1">[8]GSV目標!$B$6:$M$6</definedName>
    <definedName name="_93__123Graph_Cｸﾞﾗﾌ_3" hidden="1">#REF!</definedName>
    <definedName name="_93_0__123Graph_XCHAR" hidden="1">#REF!</definedName>
    <definedName name="_93_123Graph_DCHAR" hidden="1">#REF!</definedName>
    <definedName name="_94______123Graph_CCHAR" hidden="1">#REF!</definedName>
    <definedName name="_94___123Graph_XCHART_1" hidden="1">[7]RD9501V!#REF!</definedName>
    <definedName name="_94__123Graph_Cｸﾞﾗﾌ_2" hidden="1">[8]GSV目標!#REF!</definedName>
    <definedName name="_94__123Graph_Cｸﾞﾗﾌ_4" hidden="1">'[16]HE(他）'!#REF!</definedName>
    <definedName name="_94_0__123Graph_BCHAR" hidden="1">#REF!</definedName>
    <definedName name="_94_0__123Graph_XCHAR" hidden="1">#REF!</definedName>
    <definedName name="_95_____0__123Graph_BCHAR" hidden="1">#REF!</definedName>
    <definedName name="_95___123Graph_Aｸﾞﾗﾌ_1" hidden="1">[12]GSV目標!$B$4:$M$4</definedName>
    <definedName name="_95__123Graph_Cｸﾞﾗﾌ_3" hidden="1">[12]HQ!$E$9:$P$9</definedName>
    <definedName name="_95__123Graph_Cｸﾞﾗﾌ_4" hidden="1">'[15]HE(他）'!#REF!</definedName>
    <definedName name="_95__123Graph_XCHART_1" hidden="1">[7]RD9501V!#REF!</definedName>
    <definedName name="_95__123Graph_Xｸﾞﾗﾌ_4" hidden="1">'[37]HE(他）'!#REF!</definedName>
    <definedName name="_95_0__123Graph_BCHAR" hidden="1">#REF!</definedName>
    <definedName name="_96____0__123Graph_ACHAR" hidden="1">#REF!</definedName>
    <definedName name="_96___123Graph_Aｸﾞﾗﾌ_2" hidden="1">[12]GSV目標!#REF!</definedName>
    <definedName name="_96___123Graph_CCHART_1" hidden="1">[9]RD9501V!#REF!</definedName>
    <definedName name="_96__123Graph_Aｸﾞﾗﾌ_2" hidden="1">[8]GSV目標!#REF!</definedName>
    <definedName name="_96__123Graph_Cｸﾞﾗﾌ_4" hidden="1">[12]HQ!#REF!</definedName>
    <definedName name="_96__123Graph_DCHART_1" hidden="1">[7]RD9501V!#REF!</definedName>
    <definedName name="_96_123Graph_CCHAR" hidden="1">#REF!</definedName>
    <definedName name="_97____0__123Graph_BCHAR" hidden="1">#REF!</definedName>
    <definedName name="_97___0__123Graph_ACHAR" hidden="1">#N/A</definedName>
    <definedName name="_97___123Graph_Aｸﾞﾗﾌ_3" hidden="1">[10]HQ!$E$7:$P$7</definedName>
    <definedName name="_97__123Graph_Aｸﾞﾗﾌ_3" hidden="1">[12]HQ!$E$7:$P$7</definedName>
    <definedName name="_97__123Graph_CCHART_1" hidden="1">#N/A</definedName>
    <definedName name="_98______123Graph_DCHAR" hidden="1">#REF!</definedName>
    <definedName name="_98____0__123Graph_CCHAR" hidden="1">#REF!</definedName>
    <definedName name="_98___123Graph_Aｸﾞﾗﾌ_4" hidden="1">[10]HQ!#REF!</definedName>
    <definedName name="_98__123Graph_Cｸﾞﾗﾌ_1" hidden="1">'[16]HE(他）'!$B$6:$M$6</definedName>
    <definedName name="_98_0__123Graph_ACHAR" hidden="1">#REF!</definedName>
    <definedName name="_99_____0__123Graph_CCHAR" hidden="1">#REF!</definedName>
    <definedName name="_99____0__123Graph_DCHAR" hidden="1">#REF!</definedName>
    <definedName name="_99___0__123Graph_BCHAR" hidden="1">#N/A</definedName>
    <definedName name="_99___123Graph_Bｸﾞﾗﾌ_1" hidden="1">[12]GSV目標!$B$5:$M$5</definedName>
    <definedName name="_99_0__123Graph_CCHAR" hidden="1">#REF!</definedName>
    <definedName name="_99_123Graph_DCHAR" hidden="1">#REF!</definedName>
    <definedName name="_99_123Graph_XCHAR" hidden="1">#REF!</definedName>
    <definedName name="_ABCＧｒａｐｈ_Aｸﾞﾗﾌ3" hidden="1">[21]A!$AB$38:$AH$38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1</definedName>
    <definedName name="_Parse_In" hidden="1">[38]住所録!#REF!</definedName>
    <definedName name="_Parse_Out" hidden="1">[38]住所録!#REF!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'[41]与信一覧 (2)'!$BZ$6:$BZ$6</definedName>
    <definedName name="_Table1_Out" hidden="1">'[41]与信一覧 (2)'!$BZ$6:$CA$801</definedName>
    <definedName name="￥￥￥￥" hidden="1">#REF!</definedName>
    <definedName name="￥￥￥￥￥￥" hidden="1">[10]RD9501V!#REF!</definedName>
    <definedName name="￥￥￥￥￥￥￥" hidden="1">#REF!</definedName>
    <definedName name="￥￥￥￥￥￥￥￥" hidden="1">[10]RD9501V!#REF!</definedName>
    <definedName name="￥￥￥￥￥￥￥￥￥" hidden="1">#REF!</definedName>
    <definedName name="￥￥￥￥￥￥￥￥￥￥" hidden="1">[10]RD9501V!#REF!</definedName>
    <definedName name="￥￥￥￥￥￥￥￥￥￥￥" hidden="1">[10]RD9501V!#REF!</definedName>
    <definedName name="￥￥￥￥￥￥￥￥￥￥￥￥￥￥￥" hidden="1">#REF!</definedName>
    <definedName name="￥￥￥￥￥￥￥￥￥￥￥￥￥￥￥￥￥￥" hidden="1">[10]RD9501V!#REF!</definedName>
    <definedName name="￥￥￥￥￥￥￥￥￥￥￥￥￥￥￥￥￥￥￥￥" hidden="1">#REF!</definedName>
    <definedName name="●" hidden="1">#REF!</definedName>
    <definedName name="・・" hidden="1">#REF!</definedName>
    <definedName name="A" hidden="1">#REF!</definedName>
    <definedName name="AAA" hidden="1">#REF!</definedName>
    <definedName name="Access_Button" hidden="1">"本番移行資料_Sheet2_List"</definedName>
    <definedName name="Access_Button1" hidden="1">"月報DB_Sheet2_List"</definedName>
    <definedName name="AccessDatabase" hidden="1">"N:\ＰＪ管理\総務OA\本番移行資料.mdb"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" hidden="1">#REF!</definedName>
    <definedName name="adfadf" hidden="1">#REF!</definedName>
    <definedName name="ADSGYHIKGSHWOM" hidden="1">#N/A</definedName>
    <definedName name="AHMEDXXLPVJTYHNHFCMKVNTWUAIJTTFVKSILVZVSTSUNZOBUCEFBNCRJHXSOVARRLERDJQHPIKDCZIDOADBHJQBCGLJXFPZIFAQGFIAXAPWVEFHDPXTLCDNCOTDKEXKWVJAJBEQEJGPOZKWKQZGRLPBZNOFPRVQGWVYKNRYXFHIERYVNEFPDGNLCIIVZGUFRANAFCLDOGMPNTBIYDPMBCSVFJEUDCFXHPDCKFHJXNLCXHCYEKBBGTYESCSENTNL" hidden="1">#N/A</definedName>
    <definedName name="AIEWNOYNPWXDXQEPOCTCVXKXCZJHSBXVBJRCVAMJYZPZCGBRHGJUYBQXXFGIBJFXOQAOQXWNUGGUYFTDSEMZFCLCOGLOMSAIMCOMABSVEIDTRRQSLOSAONVDZLAPOFZKFAHMEEXXLHVFUGPVPWGEQHNQOUCDNOTFVKSILKFVSSSUNJNCPIQFANBRJHBLGCJOFFZSFRXEVIKXRQNGRCORPVXEPQUZXLOYIFAPUUTWOLOEKKSUVRDTLCDNCWBMTMF" hidden="1">[42]②仙台!#REF!</definedName>
    <definedName name="anscount" hidden="1">1</definedName>
    <definedName name="AOPGJNIYVWVXQTXFSSAVWSFTTKEOKFMRIICCZFTDTFOUOMJTRCUADBHPQMBLPJZXXWZRDSFYGIJFSGWOLGQLHOTKICPAHOENGIVPOLUTENQOTVCNOTYVKSBLVSMZZYBTQTIPOXYAWIYQHISGJQVFMGZMYQHPIJWCZIGSDDBHPWHBGSPEFVFIMGWBLOADHWCCKMNJIEWNOZNPGXERREJPDNCOXPVSBTEWBECIRYOTFCRSIAEZPMMMOHKOWUCXZUH" hidden="1">[7]RD9501V!#REF!</definedName>
    <definedName name="APNNNPILPCCKFGCODSRICNIDKPHHAAOSYHXJSYSROXWHZEHFYMDRZQTCGBRPPOQJFJYMEGIDQEUMKEOJFMRIICUFLSJSLNAUTQZXJLOMSUBMMRWUIQZKTQLBFGFHILAHHPQSOAIEWNOYNPWBKEXLWVJUNPCPVSBZLWIECIRYJCHVKLBLOSNDHHHJJNCJIQSTPCJGGISGIPOFMZZMQXLVIRERWTZKCILJOXEIJOZXMNDGQUOECNQILPXLKSNPLXM" hidden="1">[7]RD9501V!#REF!</definedName>
    <definedName name="as" hidden="1">[7]RD9501V!#REF!</definedName>
    <definedName name="AS2DocOpenMode" hidden="1">"AS2DocumentEdit"</definedName>
    <definedName name="AS2HasNoAutoHeaderFooter" hidden="1">" "</definedName>
    <definedName name="ASACEZMAQIGAKFBINEEYQBIPGOHJWQPMVUFQCFUWDOPUZWLSCMWTNDIIHKCODJJRTUQDKHZQRBPSZEOVPHSRFWFYANAFCMKVGTPNTBEYDPMBCSCFJETYYXAMPTIZHJKGTAARSCRTAYQWJINTHRGNANSPYQBTZCAGOVZAFROPGJSWRHFFEHZCGOCBJENZODCTNYTHMDDIWAGUERAGAZWFASXAYENNYZDPGOEHRVPFDDCFXUXNATOQLYMCUSMWYFK" hidden="1">#N/A</definedName>
    <definedName name="asd" hidden="1">[10]RD9501V!#REF!</definedName>
    <definedName name="ASDDF" hidden="1">#REF!</definedName>
    <definedName name="ＡＶＬＰＱＰＲＤＧＫＺＧＦＮＰＲＭＺＨＤＶＭＮＸＺＧＥＷＣＰＰＤＨＮＢＺＬＵＨＵＡＸＧＹＪＢＧＪＺＩＰＴＵＹＫＩＷＸＮＲＡＥＺＹＹＸＡＳＷＺＩＶＶＤＹＺＶＨＷＬＫＢＶＧＢＷＵＬＬＥＥＳＷＰＺＯＡＪＰＫＩＦＯＮＹＱＶＹＸＷＸＨＩＮＺＰＥＭＣＦＰＴＯＤＢＢＡＤＶＳＷＬＣＫＭＮＪＷＫＡＢＶＦＢＷＤＩＡＺＴＭＡＬＲＹＰＹＲＴＧＡＺＤＣＮＹＹＷＣＥＬＷＮＳＱＥＭＷＧＰＮＨＮＮＭＰＨＥＶＢＢＪＬＭＩＶＫＣＴＵＥＧＮＳＤＫＤＷＫＶＶＪＺＩＢＤＱＤＪＧＺＫＶＨＤＧＯＷＧＱＣＺＯＲＢＤＨＣＳＸＩＫＷＺＤＳＺＹＧＩＫＦＳＡＷ" hidden="1">#REF!</definedName>
    <definedName name="AXPGHRFIPNELYYLESCRBOBHEMISWRGEEDGYCWJJRMNJWKZYPKUPKRXDWWKOVJSILRLKHQPAMPNTKVVAMCRZPSCGBROPOXUXNATBDEAMBQIGALGBINFFZNYELCLEGTNMJSQBNQOUWDOPTYWKSCMVTNDIPSKHKAGGEGBOVSJKVJLSXIPIBPAAOENGIVIZJHSDQMKQYFQKPGVWMWZDYNSSRUFJMCIIQIEQYULMXLNUSKQDDRVBPZPBKXEBKCNFKNLR" hidden="1">#N/A</definedName>
    <definedName name="ＡＸＰＧＨＲＦＩＰＵＥＬＦＹＬＸＷＫＢＪＣＤＱＷＴＣＡＭＷＪＦＤＪＴＤＸＣＯＬＡＢＲＢＥＩＥＩＪＩＫＷＺＤＳＺＹＧＩＪＦＳＺＷＯＲＢＱＳＺＸＰＶＩＩＷＡＧＵＥＵＧＮＡＧＤＭＥＦＬＮＭＲＡＨＬＭＲＣＡＰＰＧＪＳＸＳＱＱＱＳＬＯＳＡＮＮＢＤＹＬＺＰＯＦＺＪＥＳＸＰＯＩＵＹＦＴＣＳＺＦＺＹＶＥＣＯＧＬＯＭＳＡＢＭＭＲＤＴＢＳＶＥＩＤＴＲＲＥＷＴＷＸＱＹＡＢＸＫＺＲＰＪＴＰＫＲＳＳＬＦＳＤＫＲＨＱＪＬＹＳＲＯＸＷＨＳＥＸＤＦＭＸＹＣＨＦＴＢＬＶＥＢＷＭＰＯＲＪＧＪＺＦＦＮＰＱＭＫＨＺＱＲＢＰＳＺＥＯＶＰＩＶＨＧＵ" hidden="1">#REF!</definedName>
    <definedName name="b" hidden="1">[34]RD9501V!#REF!</definedName>
    <definedName name="ＢＡＲＬＶＱＭＴＹＰＰＪＪＷＢＨＶＦＵＧＨＢＡＷＧＥＱＨＮＱＯＵＯＺＺＥＱＧＶＤＴＷＧＫＦＶＳＴＳＵＮＪＡＯＧＰＱＳＯＡＰＥＷＵＫＦＡＨＭＥＥＸＱＥＰＶＤＴＣＶＸＫＥＤＡＴＥＰＢＥＣＩＫＲＣＤＨＭＫＹＧＱＡＪＧＢＤＤＣＦＸＵＸＭＴＳＡＣＥＡＭＵＱＩＺＡＫＺＧＬＷＤＷＰＤＯＯＣＭＦＨＵＨＮＫＴＳＤＯＡＷＭＵＢＭＧＬＸＵＪＫＡＫＮＲＮＲＲＲＴＦＩＭＢＨＨＰＲＳＯＢＤＶＭＮＸＭＯＶＴＫＲＥＥＳＮＣＬＢＮＷＪＷＣＺＩＺＯＴＷＵＡＪＱＵＶＺＬＪＸＹＰＮＲＬＢＺＸＡＳＷＺＧＧＯＪＫＧＴＨＷＶＭＨＸＴＡＦＷＷＱＱＤＩＯ" hidden="1">#REF!</definedName>
    <definedName name="ＢＡＸＧＥＱＩＮＱＯＵＣＤＯＯＴＦＶＫＳＮＸＢＶＬＪＪＩＬＤＡＤＴＧＺＨＪＫＨＶＬＤＢＶＦＡＷＤＩＺＺＴＭＺＬＲＹＰＹＱＵＯＮＫＴＲＤＯＳＱＶＸＲＳＷＢＣＫＴＤＮＫＦＶＺＺＹＢＴＱＸＥＤＬＮＰＬＸＦＢＴＫＬＶＫＭＴＹＪＰＪＣＸＷＫＢＫＤＦＳＦＬＨＲＰＢＬＹＵＳＢＩＴＮＳＤＢＱＱＨＲＵＹＳＩＮＮＫＷＺＤＳＹＹＧＩＪＦＳＤＶＭＮＹＭＯＶＴＬＡＡＮＳＹＭＷＬＸＧＴＨＬＵＬＸＰＵＸＶＢＪＲＤＩＵＲＧＨＸＡＫＯＩＹＷＷＶＹＱＵＢＰＯＷＲＤＰＥＴＳＪＤＯＪＥＬＱＩＩＢＲＶＢＰＺＰＢＫＺＹＶＥＣＯＦＬＯＭＳＡＢＢＦＲＩ" hidden="1">#REF!</definedName>
    <definedName name="BB" hidden="1">#REF!</definedName>
    <definedName name="BDKVWAFDRZJTCZUKOPOQJMBIINOKXEULMWKNUZJQKDRCBPGWYAEZPUUTVHCSYYXYUGOKCTUFDKIAGTTHLRFPFRVIOLHTLQTRXFNRRWGVWMQZDYOLMLNGBKXXFABXJYULGQLHNTYSSGKQEOEQZFZYVECUADBHPQABGSIXFVYIMGWUUDWSWLZRZBDYLZPHFZNIPUMLFHSZGXFYANHENMXICAFHOZAFPEMVFPMHWBBADVKZGFNPRNZHDVMNXMOVMSM" hidden="1">[42]②仙台!#REF!</definedName>
    <definedName name="BKAMVBVURAZKCHKIOWXIIN" hidden="1">#REF!</definedName>
    <definedName name="BKIULRU" hidden="1">#N/A</definedName>
    <definedName name="ＢＬＺＢＩＨＹＦＲＳＦＪＱＥＯＤＮＡＮＴＰＺＱＣＴＺＣＡＧＯＷＺＡＳＱＥＦＷＺＩＭＨＸＶＶＵＥＨＬＴＧＧＯＪＫＧＴＨＸＶＭＨＲＭＩＩＡＺＴＴＨＬＲＦＰＦＲＡＧＡＺＷＦＤＰＧＤＢＨＱＱＢＣＧＳＪＸＦＷＺＰＪＺＸＸＷＺＲＯＲＨＵＮＶＸＩＶＪＺＲＰＪＤＹＦＫＣＣＶＯＣＮＴＢＲＡＴＶＩＣＢＹＵＦＱＤＧＥＪＬＳＤＫＰＮＢＪＴＢＹＴＩＮＮＭＰＨＥＩＸＤＤＬＮＯＣＫＧＹＰＲＢＰＲＹＤＯＶＯＨＶＧＧＵＱＪＬＹＬＲＯＸＷＨＳＥＡＹＥＮＵＦＦＲＯＤＥＵＥＨＬＧＶＡＡＺＣＯＲＶＸＸＦＧＩＥＱＹＵＭＤＥＯＤＦＭＫＣＩＶＶＪＱＥＯ" hidden="1">[9]RD9501V!#REF!</definedName>
    <definedName name="BNVRJABMACJKREERWCQAPBKXLYIZLCILJPXFIJOAXMNDBMLCWHCXEJBAUTXDSBRDMSWTCBMEJMKQZZKLPBSGOFIPKAYYXVRVKYQYABXKYOGEYIGNSJJDWJMTKTMOBVTQAYJUHKIOPXHYDAPXGQADTYYXDAETZZUVREBTKMWKMTZJMGTEESIRKMZMSPYXEQNLQZGRLQBZOOFPSWRWWVVZCSYYGIJFRZVPRBPRYXOVIIVZFPFRANAFCMDSXAYEMUY" hidden="1">#N/A</definedName>
    <definedName name="BQXO" hidden="1">#REF!</definedName>
    <definedName name="BRPPOQJMQYMLTOQLYNMDXIDYFKCCVVJNTHRHNTNMJSRCUZMSABLMRDTIQGJTXSRRQTLILAOHPQSOAPHFAKFAHNEEXREPWDTCVWQOLVTEPCFDIKROTYVKSBLVSNDHHHJCYCRXXFUPCKGYPQAPJOZFZSGRQEVEXZMZFWUGRDZXDMTEXCOLADNQUOEJJIILPEKZBCYKSOGXZJXZGFWDPPDHOCMYHUINKTLWOTWVAJQUVZLJKADNRMKLKMFIMUIHPKM" hidden="1">[42]②仙台!#REF!</definedName>
    <definedName name="BRWWVYJ" hidden="1">[42]②仙台!#REF!</definedName>
    <definedName name="BUWJWCZIGSDPLJPXFQTFCRSISVZVZAZBNQUHHPRSMUQIZAKZBIGXERRFJPDNUDPDIFOGVADBHPXABGSPEFRAEZPMNMOHKOWJJRZVHWPGAKGBINFEYYMQWKUHQWQPMVTFXCFDJRSVAMCRZPSCGCZAZBUQUJWPXZAWJXKHCMHCJPGLESDJQHQJLYIFONVHKIOQXIJNSQEMWGPMHXBCBBXBQXWEGHBJFXOPAOQXCLFYMXWKBKDFQWTCAMXJFDJRZJN" hidden="1">[9]RD9501V!#REF!</definedName>
    <definedName name="ＢＶＬＱＱＰＳＫＨＫＺＧＦＥＦＢＯＶＳＫＢＣＭＡＤＪＰＺＧＺＴＧＦＴＫＴＭＯＢＯＵＲＡＹＫＶＨＤＢＨＰＸＤＩＴＲＧＧＸＨＫＯＩＹＤＲＵＦＪＭＣＩＩＱＳＴＰＢＪＦＸＯＰＡＯＱＸＶＩＶＶＩＮＴＨＲＨＱＤＱＷＴＣＵＦＸＣＦＤＪＲＺＤＫＷＴＩＪＺＣＭＱＬＡＹＹＸＡＫＯＷＫＪＲＭＯＬＺＯＮＥＺＪＥＶＡＳＲＬＬＺＤＪＸＨＸＪＳＹＳＲＮＸＶＨＦＩＧＭＶＶＧＡＭＣＲＺＰＳＣＧＢＲＯＯＯＱＪＦＪＹＬＢＤＥＡＮＢＲＪＨＢＬＧＣＪＵＵＮＧＵＦＬＴＪＳＬＮＡＵＲＡＺＫＶＩＬＪＯＱＸＩＣＨＥＴＢＫＵＥＢＷＭＦＥＨＺＷＺＰＶＶＴＶＱ" hidden="1">[9]RD9501V!#REF!</definedName>
    <definedName name="BWJQNFWXHVYFDUBONRXLVCLYLROXODYIMHXUUUWPSWERRZHCPDTOISNJQVMMGGTYESCRDMSXUDBNFFDJRSCDIUKZHXAKOIYWWVYZCRFYGHJFKASQKUPLSXOOIBPAGNENGGAZWFDPAMPNTVCFKPMBJSCMJEUYYYATPTIOOJKGTAXPGHRFIPJQJDQBBPGOHJWJPMVQBOKINWDOINYWLMCMPTVAAZCNRUJQQYZBXJYQHJMPWULSFFSXDRBQCLYMROA" hidden="1">#REF!</definedName>
    <definedName name="ＣＢＱＧＰＩＫＸＫＱＮＷＲＣＯＫＩＯＸＥＵＺＬＩＸＹＯＹＢＦＺＰＵＵＴＷＨＬＯＥＫＫＳＴＰＣＪＧＹＯＱＡＯＲＩＺＧＳＴＧＫＲＦＰＥＬＹＬＱＩＺＬＤＩＬＪＰＸＦＪＪＯＡＸＭＮＤＧＱＵＰＡＢＡＣＶＹＣＫＹＸＦＧＣＯＤＳＲＩＣＮＶＣＩＺＺＳＳＷＣＱＡＰＣＫＲＬＪＧＦＲＪＯＲＰＶＤＥＰＰＵＧＷＬＴＪＭＷＡＶＬＢＡＣＶＲＶＫＹＱＹＡＣＸＫＹＯＧＥＵＰＬＳＸＯＭＦＴＥＫＮＷＰＲＥＹＸＵＤＢＮＹＫＮＬＲＳＡＬＬＱＸＭＴＤＮＷＵＯＥＪＪＷＯＬＰＥＫＫＳＵＶＲＤＬＨＺＱＳＣＱＳＸＨＯＩＢＯＺＺＮＥＸＺＭＺＦＣＬＪＶＦＳＯＭ" hidden="1">[9]RD9501V!#REF!</definedName>
    <definedName name="ＣＣＢＥＰＴＷＬＳＳＡＢＤＺＬＴＰＨＬＶＪＬＳＲＩＰＢＢＦＬＺＪＺＬＵＨＵＺＷＦＸＩＡＧＴＹＨＯＳＴＹＪＨＷＷＯＹＣＸＮＫＫＫＭＴＸＦＴＳＡＶＸＳＦＴＪＩＺＴＤＹＵＢＧＩＣＣＱＵＡＯＺＬＵＡＵＴＱＺＹＪＢＧＪＨＮＷＷＨＬＷＮＣＬＯＹＣＸＭＫＶＸＱＭＱＦＳＬＴＶＷＳＦＴＪＢＺＯＫＦＭＲＪＩＣＶＪＵＡＨＦＹＡＮＨＧＤＭＬＷＦＩＧＭＧＲＳＷＢＺＮＶＦＰＨＣＲＷＷＶＹＱＮＱＧＭＭＵＷＸＴＦＩＡＲＳＣＱＴＡＦＰＷＱＪＷＨＨＶＧＺＢＯＢＧＤＮＩＴＦＢＺＦＮＶＧＺＥＱＮＣＤＰＲＶＱＧＫＬＫＭＹＢＦＵＢＡＩＫＭＨＡＷＯＦ" hidden="1">#REF!</definedName>
    <definedName name="CEGBOWSKBGUXEJTAUNAMLZQYRTGUZWGSDPLJPYFQANOQMYGCULMWLNUSKQDDRVSCSENZNSPYQBTZCAFOVZAFAOPGEICSQQPSKDLYYGBCYLZPOEZJEAHMDRREIPDNCOXDXWTCBMMPNTBCNNPGUCTWDYOLMLNGCGVIBJLMIVJZRPJRNUZQQKDQCIPATVICBXHFRBORGIPAAFKHWENXHEZPTUTVOKOVVDFGCQMEVWHVXMXEXQEPODTCVXKXDAJHTEQ" hidden="1">#N/A</definedName>
    <definedName name="CGJY" hidden="1">[42]②仙台!#REF!</definedName>
    <definedName name="ＣＨＦＴＢＬＶＥＬＢＦＦＦＨＡＷＡＰＫＳＴＶＲＤＬＨＺＱＲＣＱＳＺＥＰＶＰＩＷＨＧＡＩＢＤＱＥＪＧＰＯＺＫＵＳＹＧＮＨＭＹＹＺＰＺＣＧＢＲＶＷＶＸＪＭＵＢＡＩＫＭＨＵＣＹＱＨＩＳＨＪＱＯＦＭＺＺＳＺＮＸＭＹＨＵＨＮＫＴＬＷＯＴＪＰＸＦＩＪＯＡＸＭＮＤＧＱＵＰＥＣＣＢＥＯＳＡＯＮＶＱＳＯＤＴＲＩＤＮＩＭＲＪＩＣＣＱＵＡＯＹＯＡＪＰＪＩＦＯＭＹＰＭＫＱＺＺＫＬＰＢＳＨＯＦＩＲＶＱＧＥＳＵＮＪＮＣＰＩＱＳＴＰＣＱＧＹＶＱＡＦＭＲＪＩＣＶＪＵＡＨＹＨＡＣＰＪＩＦＯＭＫＷＺＸＤＦＭＸＹＣＨＦＭＶＦＰＭＨＷＢＢＡＫＧ" hidden="1">#REF!</definedName>
    <definedName name="ＣＩＯＦＦＺＺＭＱＸＬＶＫＷＦＬＦＥＢＫＸＰＶＸＷＢＫＫＫＰＢＲＧＯＥＨＲＶＱＧＤＥＤＦＹＵＹＮＡＱＳＴＰＢＱＦＸＶＰＡＶＱＸＪＪＣＶＪＵＢＩＹＨＡＣＰＪＩＱＯＺＫＸＡＹＵＢＭＮＬＩＸＦＯＹＩＦＡＱＵＵＴＷＡＤＳＺＹＨＩＫＧＳＡＷＯＦＧＱＦＱＶＦＭＧＺＭＸＸＱＺＳＵＨＵＡＸＴＥＰＢＹＷＢＫＲＣＷＢＹＮＯＥＯＲＶＱＭＮＭＯＡＤＨＷＤＣＫＣＹＫＳＯＧＸＺＪＸＺＧＦＲＥＥＳＷＣＱＡＱＣＬＹＬＱＮＸＯＧＬＯＭＳＢＩＭＮＲＤＢＰＱＨＶＺＵＫＨＨＨＪＣＦＦＴＳＢＶＸＴＦＹＸＯＩＳＮＪＱＶＭＭＧＧＴＹＥＳＣＲＤＭＢＡＸ" hidden="1">#REF!</definedName>
    <definedName name="CJADNRLBZZYBTQTIWPXLHUIYQNISNJQVMMGZMXETCVXKEDAJHTEQTRXZGRRWBYGQAJGBRVWVXQMQRQYABXDZRIJTIKRWHNHAOZYMEXZMZEBLJUFSOMSTEXCOLABRBEIYDDCEQTYEEMOPLXTLCDOCELJBIUUIMSCRDMZMSPYQBTYBKTAEEGESTKNWAVLJJILDGKXXFABXKYONEYIDRWOOHHVZFTDTFOUONKTRDFIGMUVFGLXNCKADNRMBZZYFCFU" hidden="1">#REF!</definedName>
    <definedName name="CKYXDFANBFWQBWRYDVVOOCGMBKAMVBVULHCSPQPRKGKZNFNPRMZXPNHRMIPULLFYLXDMVOQDXVNLXIUXVBCKVLQOCKUENLFCDCEXTXNMUWXTGNKCTUESVTDKDXKYMCLEGTGMJSQCNZVTZHPASEBQRHRUEUYZYAMPTIPOWYAVIXPGHRGIPNFLYYMQWGVHQDQWTCUFXCFDJSGGLXUJKADNRMTTTVORVDQQYTUQDRHICMHNSKJDDRVBPZPBKQKJGPN" hidden="1">#N/A</definedName>
    <definedName name="CLDOGMPNSZCDIURGHXAKOKHHHJCFWJJRMNJVKZYPKUPKRWZTTGLRFPEQZFZYVEDOGLOMSTEFJVMAIZCLPKJJILDADTZHJKGTHAYSCYTAFXWQJXIOVMVOVPNKUSDOBECIJRBSXUJRAKURMCGLNGCGVBBJLMIVCYQHJSVCHRYSLYJJXOWPRERMVUFQCYWCLSDXZWLMCMPSINNMPAEHWDDLMVIQMEVWGVXELSFFSXCMCOXKXDAJAMEJMKQYGJKGDST" hidden="1">[9]RD9501V!#REF!</definedName>
    <definedName name="CMJDTYYXASPSIOOWYZVHPL" hidden="1">[42]②仙台!#REF!</definedName>
    <definedName name="CMJEUNMPHEIXDDLNOKWEARTDRTAGLFYMXTKSLNANTQZYJVRPVDLVPUGDSTJTWAVLPPZLOSHONVXJVDZRIJUIKRPHOAAAGVEUGPCPVSBSEWTRWFMQRWHFUULOYCUSSRUMQQEDLGIEQFUTKWSNUZRQKKYCIWGWIRXFCLJVMSVTZHISTYKAPXNIMHWUUUWPLPERKSKGSHWOMGRMHOTTMFTEKSIRKMZGDMLWHTWUACCDHMKZGQAJHBKLKMFBFUAAIKL" hidden="1">[42]②仙台!#REF!</definedName>
    <definedName name="ＣＮＦＫＮＬＲＡＡＹＣＯＦＴＢＲＶＵＯＥＣＣＢＥＷＴＷＬＺＳＡＯＫＸＬＡＳＱＬＶＱＬＳＹＰＰＩＣＰＡＨＯＥＥＨＴＯＭＥＣＯＺＬＯＭＦＭＸＸＣＨＥＴＢＫＵＥＢＷＭＱＲＱＳＴＷＬＳＲＡＢＤＺＬＴＰＨＹＩＷＹＦＫＶＣＶＯＣＮＮＢＲＡＴＶＩＶＪＳＲＣＮＺＶＵＺＩＰＡＵＺＫＩＥＶＦＩＭＧＷＭＬＯＡＤＨＷＣＣＫＭＮＪＶＤＺＲＩＫＵＩＱＯＦＭＺＺＭＲＸＬＶＫＷＦＳＧＬＩＲＪＵＭＲＥＫＳＡＤＥＪＶＳＨＪＭＷＡＶＬＩＪＩＫＤＧＫＳＦＹＴＶＲＤＳＨＧＸＲＢＸＳＺＥＷＶＰＰＤＨＡＪＺＬＵＡＵＴＱＺＸＪＢＧＪＨＮＶＷＨＨＭＡＯＷ" hidden="1">[9]RD9501V!#REF!</definedName>
    <definedName name="CNHMFUVLVYCXMRRQTEILBHHCDZMTQIZVKMTRIPCCQUAOYOAJWJOGYJBGJHNWDHHMYVKLBFORHFFEHZDGPCCKFGCODSRUFAVCHZZSSVCQAPBKQKJGPOZRWZXDMMCHTJYGWZJNIXVVUXEIXKDLNOKXLBTRLCXEKBBUOBMTCLDGSNLIRQBKNLRSAQUZXLTDNWUOEJJIVSVLRRZBCYKSOGXYJKRWHOHAOZZNDMFHUROXWHSFBZENUFZEPNCCTDGXNRR" hidden="1">#N/A</definedName>
    <definedName name="CQBAPFOUHVAXGFQBNJIHPZTYTIJZJMQMQQQSEHLAGGOQRNAPHYZJYAHFXDQQEAOXNZIVIOLULAFIGMVCGHLXVJKPZDXNLLKNFJMVIIQXTGUJIZUEZUBHYYDRVBPZPBKQKIFPNYQKIOWXIINZPEMCFAVLIIIKDZDSJRTVQDRHZXRBWSZEVVTHSYGWFYANHGDMKWHTWLNUFGKPNBJTDMJEUZZYATEUAAIKLHTBXPGHSGIPUFMFXIIWMVOQDQWTCAM" hidden="1">#N/A</definedName>
    <definedName name="ＣＲＺＩＳＣＦＶＺＺＺＢＵＱＵＪＰＰＸＺＡＷＰＬＤＵＶＦＵＷＤＩＳＺＴＭＡＬＫＹＰＹＥＲＥＫＨＱＯＡＬＸＴＲＸＦＮＸＲＷＩＦＵＶＨＪＮＩＹＣＤＣＥＱＴＸＭＴＳＡＣＥＺＭＣＵＬＭＷＫＮＵＳＪＱＢＰＴＺＮＸＮＺＧＴＺＷＦＸＳＸＡＹＥＮＵＹＺＤＰＮＢＣＴＷＦＪＹＷＷＷＹＲＵＹＧＴＴＢＷＸＴＧＵＪＹＳＣＸＴＸＯＯＩＩＷＡＧＵＥＫＴＺＴＳＰＹＸＩＱＴＲＸＧＧＲＳＷＩＺＯＶＵＥＩＤＳＱＱＰＳＫＨＫＡＮＧＯＱＲＮＴＩＡＹＳＤＹＴＡＦＸＸＱＪＸＩＯＷＭＶＯＱＤＯＬＵＴＥＰＢＥＣＩＫＲＣＤＨＭＫＹＧＱＶＳＭＣＨＨＧＪＢＹＢ" hidden="1">#REF!</definedName>
    <definedName name="CUZCAGPPABFRIWGJSWSQQPSKWVQLSXPOIBPAGNENGIAZWFEMYBZFGOZZEJGOYIRVKPPORJGKZFFABXKZRIJTIKRWGSLZKJYOXQSFSYVECKWSQWFMXRVHFTULVXBWCCBEPTWMSSACKXEBTKLVJMTUBNOBFMALXGSGLIRJUMSVTYHOSTVSHIYBLPKAXXXZSVSGFNIRDSHGXRCXSZEWVPPDHNBLYHNHGXWHZEHXFGRRWIYNVLOYCXNKKKMFQFTLTVX" hidden="1">#N/A</definedName>
    <definedName name="CVJUT" hidden="1">[42]②仙台!#REF!</definedName>
    <definedName name="d" hidden="1">#REF!</definedName>
    <definedName name="DAJITERNLQZGRLQPEFVFIMHWBBITXAPWWEFHDPXXOPZOQXVMTGGUYESCSENAKHQITLFDJRHINZWLMCFPTODBBADVZWJJRMNJWKAHCMHCJPGGZZNRYMVLXGMGFWVGYEHFKTTEFKVGNEHQUPFDNQIFJYLEGHDQEUMJEOJFCTTNGUFLOXQSFZXUECNYLOMSMXXCHETBKUEBWMQQQSLHLYYGIJFRZVNEFQEGNSDKIVGGULTMOBZWFEPAMIGMVCNGLXU" hidden="1">#REF!</definedName>
    <definedName name="ＤＣＦＸＵＸＣＵＣＥＧＢＯＣＳＫＩＣＭＨＤＫＶＶＯＩＶＧＮＵＩＢＤＱＫＵＤＣＮＹＫＮＬＲＴＡＬＭＱＶＴＨＰＺＵＲＭＣＧＧＧＩＢＸＢＱＷＷＥＷＳＥＭＩＡＲＳＣＲＸＣＮＵＮＧＵＦＦＴＪＳＬＮＡＮＴＱＺＸＪＵＧＰＶＤＬＶＰＵＧＤＳＴＪＴＷＡＶＫＰＰＯＲＣＬＡＨＧＯＱＳＮＡＩＫＢＤＮＢＤＫＪＢＮＮＢＦＭＴＩＵＤＱＤＪＧＰＺＲＷＺＸＤＭＴＸＹＣＯＭＡＢＥＯＳＭＣＡＡＺＣＵＹＢＪＸＷＦＺＢＸＭＣＢＳＭＭＨＯＴＬＫＥＥＳＷＣＱＭＹＨＮＨＧＤＭＬＷＯＴＷＵＡＪＪＵＵＺＬＣＳＩＬＶＺＵＷＷＶＹＱＮＱＧＴＭＵＷＸＴＦＵＪＢＺ" hidden="1">#REF!</definedName>
    <definedName name="DCKMOJW" hidden="1">[42]②仙台!#REF!</definedName>
    <definedName name="ＤＤＷＰＤＯＵＣＳＢＵＷＪＤＣＺＶＧＲＥＨＦＫＭＴＥＦＫＰＭＢＩＲＢＹＴＩＮＮＭＰＨＪＹＦＥＭＯＱＬＹＧＣＵＬＬＺＢＩＯＹＦＹＳＦＱＱＥＶＬＮＡＮＴＰＭＸＩＵＱＯＵＤＫＶＰＴＦＤＲＳＪＴＶＺＭＱＱＱＳＥＨＬＡＧＧＯＱＲＮＡＨＤＢＣＮＢＤＸＯＶＩＩＶＡＧＵＥＴＦＯＢＰＧＰＧＳＫＰＳＱＷＥＭＱＱＶＨＥＴＵＫＮＸＢＯＬＭＬＮＧＪＮＶＪＦＡＢＸＪＹＮＭＤＹＩＤＹＺＱＱＫＫＹＣＩＷＧＷＩＲＸＲＰＭＷＵＭＲＵＳＹＨＨＳＴＸＪＱＹＯＲＢＦＡＰＣＢＥＷＴＷＬＺＲＡＢＤＺＬＡＰＨＯＹＴＰＶＢＳＳＬＨＳＹＦＷＦＹＡＮＨＥＮＭ" hidden="1">[7]RD9501V!#REF!</definedName>
    <definedName name="ddyhgedytu" hidden="1">[10]RD9501V!#REF!</definedName>
    <definedName name="DF_GRID_1">#REF!</definedName>
    <definedName name="dfg" hidden="1">[10]RD9501V!#REF!</definedName>
    <definedName name="ＤＦＹＵＹＮＡＴＢＫＧＳＨＷＯＭＧＱＭＨＥＷＷＰＩＷＨＮＶＳＬＮＡＵＴＱＺＹＪＵＧＪＨＮＰＷＨＹＤＡＰＸＧＱＡＸＲＨＭＭＺＳＯＳＨＮＮＶＸＹＵＨＯＫＤＴＱＦＨＯＴＪＣＶＪＵＴＩＹＨＡＣＰＣＩＦＹＪＵＧＣＡＧＰＷＨＢＦＲＰＤＥＶＦＨＬＧＭＭＬＯＺＤＧＷＣＣＫＭＮＪＶＤＺＲＩＪＵＩＤＢＴＺＭＭＡＥＫＹＩＹＫＴＧＴＺＷＦＷＹＤＧＥＥＬＰＱＶＧＥＳＴＫＮＷＢＶＬＪＪＩＬＤＨＥＲＲＺＵＶＲＤＴＳＪＤＮＩＥＬＧＦＺＺＮＲＸＬＶＬＸＧＭＧＦＣＬＪＶＭＳＥＫＴＴＥＶＧＸＭＴＫＮＷＨＷＵＵＴＮＫＮＤＱＪＥＦＢＯＣＳＫＨＣＭ" hidden="1">[7]RD9501V!#REF!</definedName>
    <definedName name="DLNOKXEASJLVJLSRIP" hidden="1">[42]②仙台!#REF!</definedName>
    <definedName name="DLNPHVLDBVFAWDLKEXLWCLUNPCWVSBALWILJPRYJZECQYISBYTJOONTQTJPIKLHUBYQHISGJQVFMGZMYXLWPRERXTDBNXKQVELWQVGETUKIMHXBBBDPSWDCKMOKWEASJKUWDBTAMMAWKUJVEREKHQITLQTRXYCDITRGGXAKOIYWWVCFJREEMHQCRGFWQAWRYDUZZNRXLVLXGMGFCLJVNHFLTUEFKWMBJZCMQLAYYLEAETGZHJKGTIAYSCYTAFWW" hidden="1">#N/A</definedName>
    <definedName name="ｄｓ" hidden="1">#REF!</definedName>
    <definedName name="DSAJTDA" hidden="1">[42]①器具製作実績グラフ!#REF!</definedName>
    <definedName name="dtryj" hidden="1">#REF!</definedName>
    <definedName name="dtuy" hidden="1">[10]RD9501V!#REF!</definedName>
    <definedName name="ＤＴＷＧＫＦＶＳＳＳＵＯＳＡＯＮＶＱＳＥＴＩＨＬＶＱＬＳＹＰＰＩＩＷＡＨＶＦＹＨＮＨＦＣＭＨＺＥＨＦＭＭＸＹＣＯＦＴＢＲＶＥＩＸＶＶＵＸＥＩＸＫＤＬＮＯＫＸＬＡＳＱＬＰＫＲＷＯＯＨＡＯＺＧＮＲＫＭＺＴＲＯＸＷＨＳＦＹＥＦＮＸＹＤＩＦＵＣＬＶＦＣＸＭＲＲＱＴＬＩＳＺＹＧＩＫＦＳＺＷＯＦＧＱＥＨＯＴＶＰＩＷＨＧＵＬＵＮＰＣＰＫＴＲＤＯＡＷＵＡＵＦＺＥＰＮＣＣＴＤＩＤＳＸＸＷＺＬＯＳＨＮＮＶＸＹＵＧＤＶＭＮＸＬＯＵＴＫＲＥＥＲＷＣＱＡＧＰＣＰＶＳＢＴＥＷＱＯＵＣＪＭＲＤＡＰＱＧＪＴＸＴＲＲＱＴＬＯＳＡＯＮＶＱＳ" hidden="1">#REF!</definedName>
    <definedName name="dty" hidden="1">#REF!</definedName>
    <definedName name="dtyd" hidden="1">[10]RD9501V!#REF!</definedName>
    <definedName name="ＤＷＫＶＣＪＺＩＢＤＱＫＪＧＰＮＺＫＷＳＹＺＨＲＳＸＣＺＯＷＦＰＺＷＲＧＬＬＫＢＸＢＱＸＷＥＧＩＤＱＸＵＭＤＥＯＣＦＭＲＢＩＤＱＢＢＰＦＯＨＪＷＪＰＭＶＵＦＱＣＹＷＣＬＳＳＸＪＧＶＷＭＷＥＺＰＴＵＴＶＨＷＬＲＲＺＢＣＹＬＳＯＧＸＺＪＸＺＧＦＷＤＭＺＥＫＹＩＸＪＵＨＮＫＴＫＷＯＴＷＵＡＩＱＵＵＺＫＺＺＱＴＤＨＢＲＰＰＯＲＪＮＱＹＭＩＤＥＡＱＦＥＶＰＡＶＱＸＣＵＵＮＮＢＦＬＺＪＺＬＵＪＨＥＮＭＸＰＶＸＷＢＫＫＶＷＢＭＤＳＺＱＴＩＤＴＱＲＱＳＬＨＬＡＮＧＯＱＲＮＡＯＥＷＵＯＩＤＫＰＨＨＡＴＨＳＹＧＷＦＹＡＷＵＲ" hidden="1">#REF!</definedName>
    <definedName name="e" hidden="1">[34]RD9501V!#REF!</definedName>
    <definedName name="ＥＡＴＪＬＶＪＭＳＲＩＰＣＣＩＯＣＭＣＬＹＭＲＯＸＰＡＳＸＡＹＯＷＡＡＦＲＯＤＥＵＸＡＵＫＩＩＨＫＣＧＪＳＴＢＷＹＴＧＵＫＪＡＵＥＺＱＶＮＮＩＷＡＧＵＥＵＧＰＶＰＺＩＨＳＫＰＳＱＷＦＦＱＲＶＨＹＭＡＤＭＱＬＢＺＺＹＢＥＩＸＫＤＬＮＭＹＮＣＵＳＭＸＳＮＵＺＲＲＫＤＲＣＩＱＥＷＺＬＧＥＢＸＪＵＧＪＨＮＰＷＨＨＭＲＯＤＬＵＥＯＬＧＷＡＯＲＪＧＪＺＦＦＮＰＱＭＹＧＣＵＬＹＭＰＷＢＬＳＭＦＳＳＧＷＦＹＡＮＡＧＢＺＫＶＩＥＣＦＮＸＲＷＩＦＵＶＬＶＹＣＸＮＲＳＶＧＫＮＣＪＩＲＳＵＱＣＫＧＹＰＱＡＰＲＬＣＪＷＷＪＯＵＧＷ" hidden="1">#REF!</definedName>
    <definedName name="ed" hidden="1">[7]RD9501V!#REF!</definedName>
    <definedName name="EDUPZUPWCTTMMAELZIYKHBAXGFQINQOUDDOPTYNVLOYCXEEDGYVQHUFMTKFHUONKTBMZCAFHOZAFKHXHRAYSIYYATPTIOOWYYKSOGXYJXZGLWDJXIHVMVOQDQVSCALWJFDJRZGLWUJKAKNRLRRQTFIMBBJLMIVCYQHJTHJQJQCCQUAPYOAJWJPMVMYQVYWFMQRVHFGWZJNHXVVUXPTWFSSAZVHWLKBVGBWDIAZTTFLZJZLUAUTBALDJMKPYYJKP" hidden="1">#N/A</definedName>
    <definedName name="EFBOCSQHCMHDJPGGZANRYFVHQWQPMVTLQTFOOZAFQHWDUXGLFVTTSCYCRFXFHJENDVTNIDKPGGATHSYFWFYANHFCLKVBECIJRBCHMJYGPZVPFKKJMEBETAZHJLHTFXOPZOQXCNTNGUFESJSLNAHENMXIUQOUDKVPTFDARBDHCSWXWYKNRGNJLMIUCYQHJTHJQPGNZZNRYMTFOBPURASDVADBHQXBVHETUKNXBWMJJJLEHLTKSNOKWLAZQKVQLSX" hidden="1">#N/A</definedName>
    <definedName name="EGNL" hidden="1">[42]①器具製作実績グラフ!#REF!</definedName>
    <definedName name="ELBKDF" hidden="1">[42]①器具製作実績グラフ!#REF!</definedName>
    <definedName name="EPPUZWLTCMWTOEXWZRORHNNVXYUGOKCTUFTVPAHATHSSGWFYANAGDMKWHTPIQYICHTQFGWGJNIXCCBEPYNTTBDEIQMEVXHVXLCJWWJNUISHTCPXUDUGYDGSAIMGRPEEVYIMGWUBEWADMZZHCDZLAPOFZKFAHMSMMZEKYZLUAUTQZXJAGJHNVWGHMYODWAJNIYVWVXQUJWPXPLXMBTRLWRBGYYRKYJQXLEGTNLISQBMZCAFHOZASPEMVFPMHPQPR" hidden="1">[42]②仙台!#REF!</definedName>
    <definedName name="f" hidden="1">#REF!</definedName>
    <definedName name="f." hidden="1">#REF!</definedName>
    <definedName name="FCFVBBJLMIUCYQHIT" hidden="1">#N/A</definedName>
    <definedName name="FCLKVGSVTZBITUYDBPX" hidden="1">#N/A</definedName>
    <definedName name="FCLKVNTWOXXIJOZQFNDGQUOECCBEWTWHAIKLHTIXPWHACPJIFOMXJMKQSZKLPUSGOYIROJZEENGCGVCBABXKRNFWQEHOTZSLZKKYOXBOBGDMLWHUQOTCJUOTECRSGJNIYCDCEQTXMSSKLHUBYQHISGJDUBNOBFMAKZLUHIFOGRJORPVELPQUGEIYBLPKFFFHADHPCCKFGCPDSRIDXSZEWVXLPVJTJVEKEDAJHTLQTRCDOOTFVKSILVZUPQPRKGK" hidden="1">#N/A</definedName>
    <definedName name="FDPHZXDLMWXCPEMCFPTOEBCBDWSWLYRGHDPETLJDOJELAATNALSZPCERLKHQPALXKQRZJKPURZITCZUKOPOQJFJYFEMOPLRNFWXHJQVGNGZFFTJSLNANTQZXJUGCAGOWFKVTHIZJLQKAFFELOSHNNVXYUGOKCTVFHOMDKXXKPVJTIUDQURASDVBECIQXBCHTQFGWZYTJGGGIBEIQDDLGHDQFEVPZVQXCUTNNBFLZJWFLFEBKIUMFDJSSDEIULZH" hidden="1">[42]②仙台!#REF!</definedName>
    <definedName name="FEGZVZOCUCEG" hidden="1">#REF!</definedName>
    <definedName name="FENHJFR" hidden="1">#N/A</definedName>
    <definedName name="fff" hidden="1">#REF!</definedName>
    <definedName name="ｆｇ" hidden="1">#REF!</definedName>
    <definedName name="FGRRWIYNVLOYIYVWVXQMQFTLTVXSFTJBZTKFMRJJCVJUAIYHACPJIFOJLOGDGVCCKLNJVDZTVFTVCISZSMZKKYOXQSFSYPOZKWTRWFMXRWHFUULVYCWMCCEQTXMSLNPKXFBTKLVKMTRIPCCQUAOZLUHUAXGYJBGTZHOSTYKHWXNQAEYOMMLOGKHVUCXZUHVLKBVFAWDLKEESWCQAQCLRLKHQOARXAPXYJJOAQFNDGQUPFCNPIEIXLDZAWIXMECW" hidden="1">#N/A</definedName>
    <definedName name="FGWZJNIYVWJBFIPPXSTPCQFEVQAVQOUFXDGEKSTDUGXLTJNWAVLIJIKDZDSFYTVRDSHZXRBXSZEWVPIWHNUGZBOIGDMLWHIGMNVFGBZNVEPYVQGKLKMFBFUBAIKTFNJBSTESUBGRYRKYJIXHACPCIFONYJVRPVELWQUGEEVFIMHMMLOASHONVXZUHPLDGRFHOMEKXXLHVFUGPCPVNFQINZFOVZAEQOCDUXGKFVTTSZCGOBUPRMZNDCTNXZGLCHH" hidden="1">[42]②仙台!#REF!</definedName>
    <definedName name="FHAWFLLTVWSFMMDFPDFMSCJCWJUUIMFHUHNKTRDOAGLUBMGLWUJJAKNRLBGGFITSHONVKGSAWOFGQFHOMEKXXLPVJTAJWJOLUMXPVYWCKRVWYVKLBEOSNDASUNQUCPIDFANBRHBMHCJOGGZYDJXHWIRXRQNWVGYDGEKTTXBNESAQUDHCBBADVSPDWEFHDPETLJDNJELQIMFTEKSIRKMZKGQOAKLJPROOTYVKSBLVSNDHIHJCYDJJRTUQDKQHITH" hidden="1">#REF!</definedName>
    <definedName name="fill" hidden="1">#REF!</definedName>
    <definedName name="FKBBVOBNTARZSUHBAXQCMZCAGHPZAVSHPYISPKAEFEKHKZGGOPRNZHDXZJXZGMWDWQDOOENGIVIOLUSEMIGMVCNHLXVJKWZDYNSSRUFYNTTBDEANCULMWLNUVBOOCGMAKAMVIVJSKVNSVTZIPTUYKIWXNMQLAYYXASWZIVVDYZVHXWNHRMIPULLFEIPDMCOXDHENMXPVXWBKKVWBMDSZEOSNDAAACVRVKXQYABXKYRPJTOCHZZSLZCJZIBDQKRA" hidden="1">#N/A</definedName>
    <definedName name="FKVBVOCNMARATVFKHQPALXTSXGNYSURGHXHKOJOPOQRUJQQYZBXJRNFWXIWYFDVBVJNTHRHTCPCIZRCUZCAGPWAAFRODEJTXRHQQSLOSANNBCYLZZQKUQDIAATTHDRBRDMSMKHQPASYBQYZJKPBRGOTDHBRPPORJGJZMFNPQMYOGDYIDZGLCCWPCNUBSATVONKTRDOADBHIQABGLIXFOYILBFGFHAWAPWVDFGCIEWNOYNPWBMSMFTEDRIRXKXDA" hidden="1">[42]②仙台!#REF!</definedName>
    <definedName name="FMRIICVJUAHYHACPJHEOMX" hidden="1">#N/A</definedName>
    <definedName name="FOEQZMZFCLCOGLOMSAPQUGEIZCLPKAYYHADHPCCKFGCPDTSJDNMTYPPJJWBHVFUGRLKHQOARXAFNOZZEQRYPSBGAQOONQIFIXLEMNPLXCUSNXSNUZRRKDRCJQGPZMGEBLJUFSVTZAISTYDAPVFPMHXBCBDWETZZHJKGSAWOFGNQXCMTNGTEEENGIVIOLUSEOBXVBJRWBNKZAQADHCSWWWYIMBIHPRTOBGYPQAPRYWOUHHVZFTDTFOBIFOGRJPSQ" hidden="1">[42]②仙台!#REF!</definedName>
    <definedName name="FPWQITSGXGMZMSPYXITFBZFHXWYKNRGNMUWYTGVNEFQEGNOVIIVAGUETFOBPCLDOGMPNSBIMNSDBQRHFJEURRRTMPTBOOWRSOBQPGAKGBINEEYYBIWFVHQWQPMVTFXCFDJRSDTFWKSJMVZUKIIHKCZDQJRTUQDRKICMIVBSSLFSVCTCVXKECUSEPPNTVCNNIGVCMWFDXNSSRUMJMBIHQRANUQJZBLZBIOYFYSFQQEPIKXKPMVUFQDZXCLSDXCNL" hidden="1">#N/A</definedName>
    <definedName name="ＦＲＺＶＮＥＦＰＥＧＮＬＤＪＹＬＱＷＫＵＪＶＥＴＺＷＦＷＯＵＸＶＡＧＪＫＰＢＹＮＯＥＨＲＶＱＦＤＤＣＺＣＧＯＣＢＪＥＧＣＯＤＦＷＲＢＷＳＹＥＶＶＯＰＣＧＮＺＰＢＫＱＫＪＧＣＮＦＫＮＴＢＣＮＮＳＥＵＪＲＨＫＵＹＴＪＶＵＸＰＭＰＥＺＨＪＫＧＴＨＸＰＮＨＲＭＩＰＵＡＴＭＡＬＲＺＰＹＲＴＧＡＺＷＦＤＰＡＲＰＶＸＥＰＱＵＺＸＬＴＣＮＷＴＯＸＸＷＺＲＯＳＨＮＮＶＸＹＵＤＺＲＩＪＴＩＫＲＷＧＮＨＡＯＺＹＭＤＭＦＨＵＢＹＨＧＲＣＯＫＩＯＸＥＰＪＮＹＮＯＥＦＫＥＵＺＺＹＢＭＱＴＩＰＯＷＵＰＣＪＧＹＰＱＡＯＨＦＸＤＱＱＥＩＯ" hidden="1">#REF!</definedName>
    <definedName name="ftry" hidden="1">[10]RD9501V!#REF!</definedName>
    <definedName name="g" hidden="1">[34]RD9501V!#REF!</definedName>
    <definedName name="GDDDFYBFNATOQMYNMDXIDYFKCCVVJNTCSENTNMJSRCUNLRAALMQCTIPGJSWRHFQSLHLANGOQRNAOHFZJEAHMDDXQEPVCTGIVPOLUPANQOUVDNOTYVDMXGDYOSTSUNJNUUCDMYGCULNXLNUZKRKDRCCQGPVIVBYHGRCWUAIPAUZLIXYOYBFZPUUTWWAPVVDFOAIEWNOYNPWUMSREJPYOAJWJPMVMYQVYNWDHYKHWXNQAEYOMMLOGKHUUCXYUHVLK" hidden="1">[42]②仙台!#REF!</definedName>
    <definedName name="ＧＤＭＬＷＯＴＷＵＫＬＶＷＢＮＤＳＡＱＴＤＲＨＥＥＥＧＺＶＺＯＢＵＣＥＦＢＯＣＲＪＨＡＷＲＹＤＶＵＯＪＵＢＩＺＨＡＣＰＪＩＦＯＮＹＪＡＹＥＦＮＹＹＤＩＦＵＣＬＴＲＬＢＧＧＦＩＡＸＡＰＷＷＥＦＨＤＰＸＡＲＳＣＱＴＡＦＰＷＱＪＷＩＨＶＭＵＮＰＣＫＨＱＯＡＬＸＴＲＸＦＮＴＹＪＨＷＸＮＸＡＥＹＯＴＴＳＶＧＫＮＣＪＪＲＩＥＲＹＶＮＥＦＰＤＧＮＬＣＪＬＺＤＪＸＨＸＪＳＦＭＪＳＫＶＮＳＶＴＺＩＰＴＵＹＫＨＷＸＮＲＡＥＱＯＯＮＱＩＭＰＹＬＬＴＯＰＬＢＱＰＧＺＵＱＷＣＴＴＭＮＡＥＬＺＪＹＫＯＩＨＥＮＹＱＶＹＷＣＬＬＷＸＢＮ" hidden="1">#REF!</definedName>
    <definedName name="GEEDGYCFO" hidden="1">#REF!</definedName>
    <definedName name="GFCLJVMSVT" hidden="1">#N/A</definedName>
    <definedName name="GFWQAVRYDUUOOBGMAKZLU" hidden="1">[42]②仙台!#REF!</definedName>
    <definedName name="GGFIIMBHHPRSOBIFXOPZNQXCMTNFQPDUDWYLYDONYJVRPVDOINYWLMCMEZPTUTVHKODKJRZVHPLDUVGUWDBTAMMAELZQCLYMROXPASXAYEGJKPBYNOECGBROPOQJMQYLLTOPLYMCBSHCYFKBBVVIXMVLXGMGFCLJVNSVTZHITTYTHPGJSWRHFFEHZWZOCUCENZODVTNYTOFXWQJXIOVMGIVPOLUTEPBETVCNOTYVDMWGDYOSSFYUYYYGHJFRNFW" hidden="1">[42]②仙台!#REF!</definedName>
    <definedName name="gh" hidden="1">#REF!</definedName>
    <definedName name="GHDQEUTKEONUZQQYMQXLVKWFLFEBKJUMRUSYHHBFRIWEUYHLGWTUTVZDSGYGIKFSGWOMGQLHUMLFYMXDKBKDFSMLHRPBLYUACJUVZECQYAJHBRWWVYQNQFMLUVXTFNJBBLZCIOYFYSFQQEVDWYLYEZYJURPVDLWPUGABRBEIDMMLOZDGWCCNPKXFBTGRFHONELXXLPWKTJVERSPYQBTYBZFOVHMYVKLBEOSNDPPRKNRZMMUPQMZNCBSNXSJOFFZ" hidden="1">[42]②仙台!#REF!</definedName>
    <definedName name="ＧＨＲＳＸＪＺＯＷＳＣＧＢＲＯＰＯＱＪＦＪＹＬＢＤＥＡＭＢＱＩＧＡＬＧＢＩＮＦＥＹＲＦＱＷＤＲＫＭＺＵＳＰＹＸＶＨＫＩＯＱＸＩＩＮＳＰＢＫＵＥＢＶＬＱＱＰＺＶＺＯＶＵＣＥＧＢＯＶＳＫＢＣＭＲＹＤＯＶＯＨＶＧＧＵＫＴＭＤＱＶＳＣＡＬＷＪＦＤＪＲＹＪＤＩＵＲＧＭＷＺＤＹＯＳＳＪＵＹＢＱＸＷＥＧＩＥＱＹＵＭＤＥＯＤＦＺＱＸＫＫＸＣＩＷＧＶＳＦＳＹＶＥＶＨＺＥＵＺＩＰＴＵＺＫＩＷＸＯＲＡＦＺＰＮＮＭＰＺＤＬＹＹＧＢＣＹＯＤＣＴＮＹＴＯＣＴＴＮＮＡＦＯＸＮＺＩＯＩＨＥＮＭＸＰＵＸＶＢＪＫＶＶＢＳＧＯＥＩＲＶＱＧＤＥ" hidden="1">#REF!</definedName>
    <definedName name="GIVIWFEPAMIGMVYSXJGVWMWZDXNSSRUFJMCIIDFBNVRJABLACJKRDDRVCQZPBKXKQNZKCILJOXEIJOIXYORBFAQNNNPILPXKKSNOIWMLCWGBXELLFFTXDRBRDMSMKHRPASMKQZZKKPBSGQTCHBRPPORJGJYMFNOQMYNFDYIDYFLCHAOZFNDMFHUONKTRDOADBUBMNIFUCLVFCXCDCEXTXMSSACDZMBTKLVXEJUAUNBXLCKDFSFLIRMXKGEKSAKE" hidden="1">[42]②仙台!#REF!</definedName>
    <definedName name="gjfj" hidden="1">[10]RD9501V!#REF!</definedName>
    <definedName name="GJHN" hidden="1">#N/A</definedName>
    <definedName name="GJTXRHFFEHZDGPCCKFGCOCBSMWSNUZQQKJNUIRHTCICBYHGRJCAGPPABFRIXEVYHLHFFEHZWZPCVDFGCODSKICNOVBSSLFPVCTCVXKECZIHSBECIJRCCHMJYGPZJGCHHGJBNCJIQSTPCJGYPQAORYDNUSGRQEVEXZMZFBLJVFSOMSAEYCOMABSCEIDTXYXZLOSZZHIKGSAWOFGRFHOMEIIWAHVEUGPCPVMEPHMPNTCJNOSECQRILUYUSSRUMQTC" hidden="1">[42]②仙台!#REF!</definedName>
    <definedName name="ＧＭＵＢＭＧＬＸＵＶＬＶＹＣＸＮＲＣＥＱＴＸＲＲＺＢＣＷＥＡＳＪＫＶＪＬＳＴＡＭＮＡＥＬＺＪＹＫＴＧＴＺＷＦＸＬＲＵＳＸＧＮＲＳＸＩＧＶＫＮＸＢＷＬＪＪＪＬＥＨＬＴＧＧＯＪＫＧＳＩＨＹＳＣＸＴＡＦＷＢＢＰＴＺＮＸＮＺＩＯＳＰＹＸＩＥＧＦＫＴＴＥＦＫＸＭＵＫＪＮＩＸＶＶＵＸＰＭＱＤＷＥＧＨＤＱＥＵＭＫＥＯＪＦＭＲＩＩＣＶＩＹＦＷＦＹＡＮＨＦＣＭＫＶＧＴＷＵＡＢＪＴＫＰＭＢＪＳＣＭＰＦＫＫＪＰＭＰＦＬＬＴＵＱＤＫＨＺＱＲＢＰＳＰＡＧＡＴＨＳＲＦＷＦＹＹＬＲＯＸＶＨＱＭＫＱＹＧＲＫＰＢＹＮＯＥＯＴＯＥＩＪＩＫＷ" hidden="1">#REF!</definedName>
    <definedName name="ＧＱＴＸＲＨＭＭＬＯＺＤＧＶＣＣＸＹＵＧＯＫＣＴＶＦＴＶＣＢＳＺＬＬＰＷＫＴＪＶＥＲＥＫＨＱＩＴＬＱＴＲＲＹＣＤＳＰＥＦＶＹＩＭＨＦＧＦＨＩＬＵＨＨＰＫＬＨＴＩＸＷＮＫＦＡＨＭＥＥＸＸＬＰＷＫＴＪＶＥＫＥＹＨＧＲＪＷＵＡＩＪＴＵＺＬＢＱＧＪＴＸＳＩＲＲＴＭＩＭＢＺＨＩＫＧＳＨＷＯＭＪＥＺＧＬＨＢＵＨＴＺＧＸＦＹＡＮＨＧＤＷＩＳＦＩＧＭＮＶＦＧＬＱＨＰＹＩＳＰＫＡＥＥＥＧＺＤＳＺＹＧＩＫＧＳＨＺＱＲＣＱＳＺＥＰＷＰＯＺＺＮＥＭＦＨＺＥＢＬＪＵＦＳＯＥＭＴＥＹＤＰＭＢＣＳＱＵＰＦＪＪＪＬＬＰＥＬＫＳＵＷＲＥＭ" hidden="1">#REF!</definedName>
    <definedName name="GWUUTWTWFSSAVWSLAZQLVQLSAAUUHMSGQDIRVQGDEDFYUYNANOQMYNFDYIDYFKCCVOCNUBRATVICKTRDOADBHIQABGNBJTDMJEUZZYATLBHHPRSOAIEWNOZBINXEYREPOFOGHUAXGEQBNJHNVDNHMYVWNXZDYOTTSUGJNCJCEFBNVRJNXLOUTKREERWCQPBKXKFOGRJPSHPXBRDBPQHKTXSIGGFIASBOOWRSOAPEDAKFAHNEEXXLPVFUHPWQOLU" hidden="1">#N/A</definedName>
    <definedName name="GWYI" hidden="1">[42]①器具製作実績グラフ!#REF!</definedName>
    <definedName name="GYDGEKT" hidden="1">#N/A</definedName>
    <definedName name="h" hidden="1">#REF!</definedName>
    <definedName name="HBGSPEFVFIMHXBBBDPSW" hidden="1">#N/A</definedName>
    <definedName name="HBRPPORJNQYMLUOQM" hidden="1">#N/A</definedName>
    <definedName name="HENMAMIHMVCNHMXVJMWZDYNSSRUFJNCIIQSTPBKCTUFTOMEKXXLPVJTJWIWBYHZKCILJOXEIJOIXYORBFAQNONPILPXPXSTPCRQHBLGAGXXQQEIPDNAJPJHEOMXPVYWCKLBGRIXEVYHMHFFEHZWAPCVDFGCOLDBVFAOTLKEXLWCJAJCERLJGQFPCFDJKSCDINKSBLVSNDZYBTQTJPPXLHUBULNXLNUAKRKERCCQBUWJWBYIGRCPLJPXEPJOAXMV" hidden="1">#REF!</definedName>
    <definedName name="HGJUNCIIQSTNVRJACMACJIZGSSGKRFPEQXLQNWOZRXZYDMJJOAXMNDGQUPFCCCEXAEMKSNPKXLBARLVQMTYPPUIMSGQGSBHBAXGEQINQFNOZZEQGVDTWGKFVSTSUNYNBTCDFBNCRJHBLHCJOFFZSCJQHPIKXBYHGRCPRQVXEPGLJXFPZIFAQVVUWPLPWWEGHDPXTLCDOCELMTMGTEESJRKMZMSPYXITFBRZHRLQCZOQADHDHIHJVYCRYXFHJERY" hidden="1">#N/A</definedName>
    <definedName name="hh" hidden="1">[43]SBプラ鉢!#REF!</definedName>
    <definedName name="ＨＪＷＱＰＭＶＵＦＱＣＦＹＺＨＲＳＤＢＰＸＨＲＡＹＳＩＮＮＭＷＳＷＬＲＲＺＢＣＹＬＳＰＨＹＺＪＸＶＡＬＲＬＥＳＤＦＷＥＸＺＭＡＦＣＬＫＶＧＳＯＵＣＫＶＯＴＦＣＲＳＩＳＶＺＵＫＯＯＯＱＣＦＮＵＴＢＤＦＡＮＵＲＪＶＦＴＷＤＢＳＺＭＭＺＴＨＲＨＴＣＰＣＨＰＨＳＫＰＳＱＷＦＭＱＲＶＨＩＪＺＣＭＱＬＮＮＭＰＨＬＯＷＫＪＲＭＯＫＷＬＡＺＱＫＪＦＭＲＩＩＣＣＰＵＡＯＹＯＡＪＦＥＢＫＩＵＭＲＵＳＹＧＨＲＳＸＪＩＱＧＪＴＸＳＨＦＦＥＨＺＷＡＰＣＶＤＶＲＥＳＨＡＸＳＣＸＳＴＬＫＥＸＬＷＣＪＡＪＣＥＲＬＩＲＱＢＭＹＢＺＦＨＩＪ" hidden="1">#REF!</definedName>
    <definedName name="HLGWABACO" hidden="1">[42]②仙台!#REF!</definedName>
    <definedName name="HLRGPFRAGAZWFDPHMPNTBCRVHYMULOXBWMKKJMEBETHTVWSETTQLVQMJAAUNBMSZQZSUHBZWFEPANQYAHSTXCAOWGQZXTXXXZSOSHNNVXYUHOKLMXLNUZKRKDRCCQGPIKXBYHGRCPNTBJUNSEBQRHRKEUZZYBMQAHGOQSNAIEWNOYNPWULSREJPDNCOXKYDAJBMORPVELPQUGESTKIMGWUUTWOSVERRZUVVKZYPJUVCIZXXLPVJTJVEKEDAJHTL" hidden="1">#REF!</definedName>
    <definedName name="ＨＭＥＥＸＱＥＰＳＪＲＫＭＺＴＥＮＬＸＩＵＸＶＢＣＫＵＶＡＦＣＲＺＩＤＢＶＬＱＱＰＳＫＨＫＺＧＦＯＰＢＯＶＳＫＢＣＭＡＤＫＶＢＶＯＣＮＭＡＲＡＴＶＩＩＦＯＮＹＪＶＳＱＭＵＦＹＤＰＭＢＣＳＣＦＪＥＵＧＦＩＴＸＡＱＷＷＥＧＨＤＰＸＴＲＳＣＱＴＡＹＰＷＪＪＷＹＭＷＭＹＨＵＨＭＪＴＱＩＯＱＰＵＤＫＯＰＵＦＤＲＥＨＲＶＱＧＤＤＤＦＹＢＦＮＡＡＩＤＥＡＱＦＥＶＯＪＦＭＲＩＩＣＣＰＵＡＯＹＮＺＱＫＪＧＰＧＹＥＨＦＬＴＵＥＦＲＨＷＥＵＸＨＬＧＷＴＵＫＣＺＣＳＦＹＧＩＪＦＲＧＶＮＬＦＱＩＰＵＬＬＦＹＭＸＤＫＢＫＤＦＳＭＫＨ" hidden="1">#REF!</definedName>
    <definedName name="HNXEXNYXLCLEGTGMJSQCNJHNWDOIMYWKLCMOSNDIIHDHKAGGOQRNZHDVCMADKHOBBOTZNXMYHUINKZLDILJPNRRWIFUVLPYCXNKZBUXBJWWEZAWJXMLFPKGMSJJCDJQEODPYGFCLKVNSVTZIITUYKBMCFPTOEBCBDWSWLYRZKGTHXPNHRMIPULLFYLXDKYRTGAZWFDPAMPNTUCMAFCRZISCZUKOOOQJFJTTBCEAMUQIZAHJQVGNGZNYYMCLVIVA" hidden="1">#N/A</definedName>
    <definedName name="HOUELEYL" hidden="1">[42]②仙台!#REF!</definedName>
    <definedName name="HPZTYKHWVFIMHWBBADPSWDDLNOKWEASJKUWDCTANNQBNKZAQUDHCSPQPRKJRFETUQCRGFWQBWRYZZTTGKRFPJSYSQNXVGYEHFLTQQVHXMUKNXBWMJKXPMPESKSUWSETIAYSCYMRIICVIUAHYGZBOIHENMNZCAGHPZAFKHWENXHEZPTTSGCGVCBJLNIVCZRIJTHKRWGSLZKJSBUWJWCZZKVHDBHQXICGSQEFWGIMJNNMPBEIXDDLNOKWEASJLUXE" hidden="1">#N/A</definedName>
    <definedName name="ＨＳＦＨＧＬＮＵＦＧＬＰＮＣＪＴＤＭＫＥＵＨＧＩＢＸＢＱＸＷＥＧＨＤＱＰＨＹＺＫＰＷＢＬＳＭＦＴＥＤＲＩＲＫＭＺＭＲＯＸＷＮＺＶＴＺＩＰＡＵＹＫＩＴＪＴＷＡＶＫＰＰＯＲＣＧＪＺＦＦＮＰＱＭＹＲＪＡＢＬＡＸＷＮＵＧＧＵＨＶＦＵＧＰＣＰＶＳＢＴＥＷＢＥＣＩＲＹＣＷＩＦＵＡＤＮＲＬＢＺＺＹＢＴＸＡＩＷＷＥＹＡＷＬＢＡＲＬＶＱＭＴＹＰＰＪＪＷＩＸＧＷＩＲＸＲＱＮＷＵＭＳＶＴＹＨＨＳＴＹＪＡＰＸＮＱＡＥＹＯＢＡＣＶＲＶＫＸＱＹＡＢＸＫＹＯＧＥＹＩＤＺＺＲＲＫＤＲＣＩＱＧＰＩＫＸＲＯＹＷＨＳＦＩＧＬＮＣＤＩＮＫＺＨＱ" hidden="1">#REF!</definedName>
    <definedName name="HSTXCAOWGQZ" hidden="1">#N/A</definedName>
    <definedName name="HTML_CodePage" hidden="1">932</definedName>
    <definedName name="HTML_Control" hidden="1">{"'在庫'!$A$3:$U$135"}</definedName>
    <definedName name="HTML_Description" hidden="1">""</definedName>
    <definedName name="HTML_Email" hidden="1">""</definedName>
    <definedName name="HTML_Header" hidden="1">"在庫"</definedName>
    <definedName name="HTML_LastUpdate" hidden="1">"00/02/24"</definedName>
    <definedName name="HTML_LineAfter" hidden="1">FALSE</definedName>
    <definedName name="HTML_LineBefore" hidden="1">FALSE</definedName>
    <definedName name="HTML_Name" hidden="1">"情報システム本部 管理担当"</definedName>
    <definedName name="HTML_OBDlg2" hidden="1">TRUE</definedName>
    <definedName name="HTML_OBDlg3" hidden="1">FALSE</definedName>
    <definedName name="HTML_OBDlg4" hidden="1">TRUE</definedName>
    <definedName name="HTML_OS" hidden="1">0</definedName>
    <definedName name="HTML_PathFile" hidden="1">"G:\03ﾁｰﾑ共有\04CSﾁｰﾑ\端末管理\管理台帳\各種台帳\MyHTML.htm"</definedName>
    <definedName name="HTML_PathFileMac" hidden="1">"Macintosh HD:Desktop Folder:MyHTML.html"</definedName>
    <definedName name="HTML_PathTemplate" hidden="1">"http://newintra-hp/qqjbbd/METI_HP/data/ritti_todogai_5_1502.html"</definedName>
    <definedName name="HTML_Title" hidden="1">"PC付替"</definedName>
    <definedName name="HTML1_1" hidden="1">"[ﾏｼﾝ室ｻｰﾊﾞｰ.xls]東京!$B$1:$AD$56"</definedName>
    <definedName name="HTML1_10" hidden="1">""</definedName>
    <definedName name="HTML1_11" hidden="1">1</definedName>
    <definedName name="HTML1_12" hidden="1">"C:\My Documents\html\ｻｰﾊﾞｰ一覧.htm"</definedName>
    <definedName name="HTML1_2" hidden="1">1</definedName>
    <definedName name="HTML1_3" hidden="1">"ﾏｼﾝ室ｻｰﾊﾞｰ."</definedName>
    <definedName name="HTML1_4" hidden="1">"東京"</definedName>
    <definedName name="HTML1_5" hidden="1">""</definedName>
    <definedName name="HTML1_6" hidden="1">-4146</definedName>
    <definedName name="HTML1_7" hidden="1">-4146</definedName>
    <definedName name="HTML1_8" hidden="1">"1999/10/05"</definedName>
    <definedName name="HTML1_9" hidden="1">"情報システム本部 ＴＣＣ 小松"</definedName>
    <definedName name="HTML10_1" hidden="1">"'[売上実績ホームページ変換用（週間）.xls]週別部門別実績'!$CR$7:$DU$66"</definedName>
    <definedName name="HTML10_10" hidden="1">""</definedName>
    <definedName name="HTML10_11" hidden="1">1</definedName>
    <definedName name="HTML10_12" hidden="1">"Z:\部門別店別売上実績表\1998年47週南関東.htm"</definedName>
    <definedName name="HTML10_2" hidden="1">1</definedName>
    <definedName name="HTML10_3" hidden="1">"週別部門別実績"</definedName>
    <definedName name="HTML10_4" hidden="1">"1998年47週(1/4～1/10)　南関東"</definedName>
    <definedName name="HTML10_5" hidden="1">"売上日計表より　単位:実績は万円,客数は人,比率は％ "</definedName>
    <definedName name="HTML10_6" hidden="1">-4146</definedName>
    <definedName name="HTML10_7" hidden="1">-4146</definedName>
    <definedName name="HTML10_8" hidden="1">"99/01/09"</definedName>
    <definedName name="HTML10_9" hidden="1">"オフィス庶務"</definedName>
    <definedName name="HTML11_1" hidden="1">"'[売上実績ホームページ変換用（週間）.xls]週別部門別実績'!$DV$7:$FL$66"</definedName>
    <definedName name="HTML11_10" hidden="1">""</definedName>
    <definedName name="HTML11_11" hidden="1">1</definedName>
    <definedName name="HTML11_12" hidden="1">"Z:\部門別店別売上実績表\1998年47週エイリア別.htm"</definedName>
    <definedName name="HTML11_2" hidden="1">1</definedName>
    <definedName name="HTML11_3" hidden="1">"週別部門別実績"</definedName>
    <definedName name="HTML11_4" hidden="1">"1998年47週(1/4～1/10)　エイリア別"</definedName>
    <definedName name="HTML11_5" hidden="1">"売上日計表より　単位:実績は万円,客数は人,比率は％ "</definedName>
    <definedName name="HTML11_6" hidden="1">-4146</definedName>
    <definedName name="HTML11_7" hidden="1">-4146</definedName>
    <definedName name="HTML11_8" hidden="1">"99/01/09"</definedName>
    <definedName name="HTML11_9" hidden="1">"オフィス庶務"</definedName>
    <definedName name="HTML12_1" hidden="1">"'[売上実績ホームページ変換用（週間）.xls]平成8年度比較表'!$B$7:$V$54"</definedName>
    <definedName name="HTML12_10" hidden="1">""</definedName>
    <definedName name="HTML12_11" hidden="1">1</definedName>
    <definedName name="HTML12_12" hidden="1">"Z:\部門別店別売上実績表\1998年47週平成8年度比較表.htm"</definedName>
    <definedName name="HTML12_2" hidden="1">1</definedName>
    <definedName name="HTML12_3" hidden="1">"週別部門別実績"</definedName>
    <definedName name="HTML12_4" hidden="1">"平成8年度比較表　47週(1/4～1/10)"</definedName>
    <definedName name="HTML12_5" hidden="1">"既存店は11,12,16,18～21,30,41～53,56,58,60以降を除く店舗 "</definedName>
    <definedName name="HTML12_6" hidden="1">-4146</definedName>
    <definedName name="HTML12_7" hidden="1">-4146</definedName>
    <definedName name="HTML12_8" hidden="1">"99/01/09"</definedName>
    <definedName name="HTML12_9" hidden="1">"オフィス庶務"</definedName>
    <definedName name="HTML13_1" hidden="1">"'[売上実績ホームページ変換用（週累計）.xls]週別部門別実績'!$DL$7:$DS$66"</definedName>
    <definedName name="HTML13_10" hidden="1">""</definedName>
    <definedName name="HTML13_11" hidden="1">1</definedName>
    <definedName name="HTML13_12" hidden="1">"Z:\部門別店別売上実績表\MyHTML.htm"</definedName>
    <definedName name="HTML13_2" hidden="1">1</definedName>
    <definedName name="HTML13_3" hidden="1">"売上実績ホームページ変換用（週累計）.xls"</definedName>
    <definedName name="HTML13_4" hidden="1">"週別部門別実績"</definedName>
    <definedName name="HTML13_5" hidden="1">""</definedName>
    <definedName name="HTML13_6" hidden="1">-4146</definedName>
    <definedName name="HTML13_7" hidden="1">-4146</definedName>
    <definedName name="HTML13_8" hidden="1">"98/07/24"</definedName>
    <definedName name="HTML13_9" hidden="1">"Kazushi Suzuki"</definedName>
    <definedName name="HTML14_1" hidden="1">"'[売上実績ホームページ変換用（週累計）.xls]週別部門別実績'!$DR$7:$DU$66"</definedName>
    <definedName name="HTML14_10" hidden="1">""</definedName>
    <definedName name="HTML14_11" hidden="1">1</definedName>
    <definedName name="HTML14_12" hidden="1">"Z:\部門別店別売上実績表\MyHTML.htm"</definedName>
    <definedName name="HTML14_2" hidden="1">1</definedName>
    <definedName name="HTML14_3" hidden="1">"売上実績ホームページ変換用（週累計）.xls"</definedName>
    <definedName name="HTML14_4" hidden="1">"週別部門別実績"</definedName>
    <definedName name="HTML14_5" hidden="1">""</definedName>
    <definedName name="HTML14_6" hidden="1">-4146</definedName>
    <definedName name="HTML14_7" hidden="1">-4146</definedName>
    <definedName name="HTML14_8" hidden="1">"98/07/24"</definedName>
    <definedName name="HTML14_9" hidden="1">"Kazushi Suzuki"</definedName>
    <definedName name="HTML15_1" hidden="1">"'[売上実績ホームページ変換用（週累計）.xls]週別部門別実績'!$DL$7:$DU$23"</definedName>
    <definedName name="HTML15_10" hidden="1">""</definedName>
    <definedName name="HTML15_11" hidden="1">1</definedName>
    <definedName name="HTML15_12" hidden="1">"Z:\部門別店別売上実績表\MyHTML.htm"</definedName>
    <definedName name="HTML15_2" hidden="1">1</definedName>
    <definedName name="HTML15_3" hidden="1">"売上実績ホームページ変換用（週累計）.xls"</definedName>
    <definedName name="HTML15_4" hidden="1">"週別部門別実績"</definedName>
    <definedName name="HTML15_5" hidden="1">""</definedName>
    <definedName name="HTML15_6" hidden="1">-4146</definedName>
    <definedName name="HTML15_7" hidden="1">-4146</definedName>
    <definedName name="HTML15_8" hidden="1">"98/07/24"</definedName>
    <definedName name="HTML15_9" hidden="1">"Kazushi Suzuki"</definedName>
    <definedName name="HTML16_1" hidden="1">"'[売上実績ホームページ変換用（週累計）.xls]週別部門別実績'!$DL$7:$DU$10"</definedName>
    <definedName name="HTML16_10" hidden="1">""</definedName>
    <definedName name="HTML16_11" hidden="1">1</definedName>
    <definedName name="HTML16_12" hidden="1">"Z:\部門別店別売上実績表\MyHTML.htm"</definedName>
    <definedName name="HTML16_2" hidden="1">1</definedName>
    <definedName name="HTML16_3" hidden="1">"売上実績ホームページ変換用（週累計）.xls"</definedName>
    <definedName name="HTML16_4" hidden="1">"週別部門別実績"</definedName>
    <definedName name="HTML16_5" hidden="1">""</definedName>
    <definedName name="HTML16_6" hidden="1">-4146</definedName>
    <definedName name="HTML16_7" hidden="1">-4146</definedName>
    <definedName name="HTML16_8" hidden="1">"98/07/24"</definedName>
    <definedName name="HTML16_9" hidden="1">"Kazushi Suzuki"</definedName>
    <definedName name="HTML17_1" hidden="1">"'[売上実績ホームページ変換用（週累計）.xls]週別部門別実績'!$DM$7:$DR$9"</definedName>
    <definedName name="HTML17_10" hidden="1">""</definedName>
    <definedName name="HTML17_11" hidden="1">1</definedName>
    <definedName name="HTML17_12" hidden="1">"Z:\部門別店別売上実績表\MyHTML.htm"</definedName>
    <definedName name="HTML17_2" hidden="1">1</definedName>
    <definedName name="HTML17_3" hidden="1">"売上実績ホームページ変換用（週累計）.xls"</definedName>
    <definedName name="HTML17_4" hidden="1">"週別部門別実績"</definedName>
    <definedName name="HTML17_5" hidden="1">""</definedName>
    <definedName name="HTML17_6" hidden="1">-4146</definedName>
    <definedName name="HTML17_7" hidden="1">-4146</definedName>
    <definedName name="HTML17_8" hidden="1">"98/07/24"</definedName>
    <definedName name="HTML17_9" hidden="1">"Kazushi Suzuki"</definedName>
    <definedName name="HTML18_1" hidden="1">"'[売上実績ホームページ変換用（週累計）.xls]週別部門別実績'!$DL$7:$DM$8"</definedName>
    <definedName name="HTML18_10" hidden="1">""</definedName>
    <definedName name="HTML18_11" hidden="1">1</definedName>
    <definedName name="HTML18_12" hidden="1">"Z:\部門別店別売上実績表\MyHTML.htm"</definedName>
    <definedName name="HTML18_2" hidden="1">1</definedName>
    <definedName name="HTML18_3" hidden="1">"売上実績ホームページ変換用（週累計）.xls"</definedName>
    <definedName name="HTML18_4" hidden="1">"週別部門別実績"</definedName>
    <definedName name="HTML18_5" hidden="1">""</definedName>
    <definedName name="HTML18_6" hidden="1">-4146</definedName>
    <definedName name="HTML18_7" hidden="1">-4146</definedName>
    <definedName name="HTML18_8" hidden="1">"98/07/24"</definedName>
    <definedName name="HTML18_9" hidden="1">"Kazushi Suzuki"</definedName>
    <definedName name="HTML19_1" hidden="1">"'[売上実績ホームページ変換用（週累計）.xls]週別部門別実績'!$DM$7:$DR$8"</definedName>
    <definedName name="HTML19_10" hidden="1">""</definedName>
    <definedName name="HTML19_11" hidden="1">1</definedName>
    <definedName name="HTML19_12" hidden="1">"Z:\部門別店別売上実績表\MyHTML.htm"</definedName>
    <definedName name="HTML19_2" hidden="1">1</definedName>
    <definedName name="HTML19_3" hidden="1">"売上実績ホームページ変換用（週累計）.xls"</definedName>
    <definedName name="HTML19_4" hidden="1">"週別部門別実績"</definedName>
    <definedName name="HTML19_5" hidden="1">""</definedName>
    <definedName name="HTML19_6" hidden="1">-4146</definedName>
    <definedName name="HTML19_7" hidden="1">-4146</definedName>
    <definedName name="HTML19_8" hidden="1">"98/07/24"</definedName>
    <definedName name="HTML19_9" hidden="1">"Kazushi Suzuki"</definedName>
    <definedName name="HTML2_1" hidden="1">"[実現方式定義書.xls]全体!$A$1:$BD$67"</definedName>
    <definedName name="HTML2_10" hidden="1">""</definedName>
    <definedName name="HTML2_11" hidden="1">1</definedName>
    <definedName name="HTML2_12" hidden="1">"S:\全社共有\更新可能\ＷＥＢ開発室(担当宮田)\1棟分PJ\住器関連\受発注\打合わせ\MyHTML.htm"</definedName>
    <definedName name="HTML2_2" hidden="1">1</definedName>
    <definedName name="HTML2_3" hidden="1">"実現方式定義書.xls"</definedName>
    <definedName name="HTML2_4" hidden="1">"全体"</definedName>
    <definedName name="HTML2_5" hidden="1">""</definedName>
    <definedName name="HTML2_6" hidden="1">-4146</definedName>
    <definedName name="HTML2_7" hidden="1">-4146</definedName>
    <definedName name="HTML2_8" hidden="1">"2001/03/22"</definedName>
    <definedName name="HTML2_9" hidden="1">"池谷 裕子"</definedName>
    <definedName name="HTML20_1" hidden="1">"'[売上実績ホームページ変換用（週累計）.xls]週別部門別実績'!$DR$7:$DS$8"</definedName>
    <definedName name="HTML20_10" hidden="1">""</definedName>
    <definedName name="HTML20_11" hidden="1">1</definedName>
    <definedName name="HTML20_12" hidden="1">"Z:\部門別店別売上実績表\MyHTML.htm"</definedName>
    <definedName name="HTML20_2" hidden="1">1</definedName>
    <definedName name="HTML20_3" hidden="1">"売上実績ホームページ変換用（週累計）.xls"</definedName>
    <definedName name="HTML20_4" hidden="1">"週別部門別実績"</definedName>
    <definedName name="HTML20_5" hidden="1">""</definedName>
    <definedName name="HTML20_6" hidden="1">-4146</definedName>
    <definedName name="HTML20_7" hidden="1">-4146</definedName>
    <definedName name="HTML20_8" hidden="1">"98/07/24"</definedName>
    <definedName name="HTML20_9" hidden="1">"Kazushi Suzuki"</definedName>
    <definedName name="HTML21_1" hidden="1">"'[売上実績ホームページ変換用（週累計）.xls]週別部門別実績'!$DM$7:$DR$7"</definedName>
    <definedName name="HTML21_10" hidden="1">""</definedName>
    <definedName name="HTML21_11" hidden="1">1</definedName>
    <definedName name="HTML21_12" hidden="1">"Z:\部門別店別売上実績表\MyHTML.htm"</definedName>
    <definedName name="HTML21_2" hidden="1">1</definedName>
    <definedName name="HTML21_3" hidden="1">"売上実績ホームページ変換用（週累計）.xls"</definedName>
    <definedName name="HTML21_4" hidden="1">"週別部門別実績"</definedName>
    <definedName name="HTML21_5" hidden="1">""</definedName>
    <definedName name="HTML21_6" hidden="1">-4146</definedName>
    <definedName name="HTML21_7" hidden="1">-4146</definedName>
    <definedName name="HTML21_8" hidden="1">"98/07/24"</definedName>
    <definedName name="HTML21_9" hidden="1">"Kazushi Suzuki"</definedName>
    <definedName name="HTML22_1" hidden="1">"'[売上実績ホームページ変換用（週累計）.xls]週別部門別実績'!$DM$21:$DR$21"</definedName>
    <definedName name="HTML22_10" hidden="1">""</definedName>
    <definedName name="HTML22_11" hidden="1">1</definedName>
    <definedName name="HTML22_12" hidden="1">"Z:\部門別店別売上実績表\MyHTML.htm"</definedName>
    <definedName name="HTML22_2" hidden="1">1</definedName>
    <definedName name="HTML22_3" hidden="1">"売上実績ホームページ変換用（週累計）.xls"</definedName>
    <definedName name="HTML22_4" hidden="1">"週別部門別実績"</definedName>
    <definedName name="HTML22_5" hidden="1">""</definedName>
    <definedName name="HTML22_6" hidden="1">-4146</definedName>
    <definedName name="HTML22_7" hidden="1">-4146</definedName>
    <definedName name="HTML22_8" hidden="1">"98/07/24"</definedName>
    <definedName name="HTML22_9" hidden="1">"Kazushi Suzuki"</definedName>
    <definedName name="HTML23_1" hidden="1">"'[売上実績ホームページ変換用（週累計）.xls]週別部門別実績'!$CR$7:$DQ$66"</definedName>
    <definedName name="HTML23_10" hidden="1">""</definedName>
    <definedName name="HTML23_11" hidden="1">1</definedName>
    <definedName name="HTML23_12" hidden="1">"Z:\部門別店別売上実績表\MyHTML.htm"</definedName>
    <definedName name="HTML23_2" hidden="1">1</definedName>
    <definedName name="HTML23_3" hidden="1">"売上実績ホームページ変換用（週累計）.xls"</definedName>
    <definedName name="HTML23_4" hidden="1">"週別部門別実績"</definedName>
    <definedName name="HTML23_5" hidden="1">""</definedName>
    <definedName name="HTML23_6" hidden="1">-4146</definedName>
    <definedName name="HTML23_7" hidden="1">-4146</definedName>
    <definedName name="HTML23_8" hidden="1">"98/07/24"</definedName>
    <definedName name="HTML23_9" hidden="1">"Kazushi Suzuki"</definedName>
    <definedName name="HTML24_1" hidden="1">"'[売上実績ホームページ変換用（週累計）.xls]週別部門別実績'!$DV$7:$FL$66"</definedName>
    <definedName name="HTML24_10" hidden="1">""</definedName>
    <definedName name="HTML24_11" hidden="1">1</definedName>
    <definedName name="HTML24_12" hidden="1">"Z:\部門別店別売上実績表\1998年47週累計エイリア別.htm"</definedName>
    <definedName name="HTML24_2" hidden="1">1</definedName>
    <definedName name="HTML24_3" hidden="1">"部門別店別売上実績"</definedName>
    <definedName name="HTML24_4" hidden="1">"1998年47週累計(2/16～1/10) エイリア別"</definedName>
    <definedName name="HTML24_5" hidden="1">"売上日計表より　単位:実績は万円,客数は人,比率は％ 
既存店２は11,12,18,21,45,53,64,65,66,67,68,69店除く"</definedName>
    <definedName name="HTML24_6" hidden="1">-4146</definedName>
    <definedName name="HTML24_7" hidden="1">-4146</definedName>
    <definedName name="HTML24_8" hidden="1">"99/01/09"</definedName>
    <definedName name="HTML24_9" hidden="1">"オフィス庶務"</definedName>
    <definedName name="HTML25_1" hidden="1">"'[売上実績ホームページ変換用（週累計）.xls]平成8年比較表'!$B$7:$V$54"</definedName>
    <definedName name="HTML25_10" hidden="1">""</definedName>
    <definedName name="HTML25_11" hidden="1">1</definedName>
    <definedName name="HTML25_12" hidden="1">"Z:\部門別店別売上実績表\1998年47週累計平成8年度比較表.htm"</definedName>
    <definedName name="HTML25_2" hidden="1">1</definedName>
    <definedName name="HTML25_3" hidden="1">"部門別店別売上実績"</definedName>
    <definedName name="HTML25_4" hidden="1">"平成8年比較表　47週累計(2/16～1/10)"</definedName>
    <definedName name="HTML25_5" hidden="1">"既存店は11,12,16,18～21,30,41～53,56,58,60以降を除く店舗 "</definedName>
    <definedName name="HTML25_6" hidden="1">-4146</definedName>
    <definedName name="HTML25_7" hidden="1">-4146</definedName>
    <definedName name="HTML25_8" hidden="1">"99/01/09"</definedName>
    <definedName name="HTML25_9" hidden="1">"オフィス庶務"</definedName>
    <definedName name="HTML26_1" hidden="1">"'[売上実績ホームページ変換用（週累計）.xls]週間数値表'!$B$3:$P$65"</definedName>
    <definedName name="HTML26_10" hidden="1">""</definedName>
    <definedName name="HTML26_11" hidden="1">1</definedName>
    <definedName name="HTML26_12" hidden="1">"Z:\週間数値\1998年45週.htm"</definedName>
    <definedName name="HTML26_2" hidden="1">1</definedName>
    <definedName name="HTML26_3" hidden="1">"週間数値"</definedName>
    <definedName name="HTML26_4" hidden="1">"週間数値　45週(12/21～12/27)"</definedName>
    <definedName name="HTML26_5" hidden="1">"単位：万円　　＊既存店は 11,12,18,21,45,56,53,64～69店を除く
"</definedName>
    <definedName name="HTML26_6" hidden="1">-4146</definedName>
    <definedName name="HTML26_7" hidden="1">-4146</definedName>
    <definedName name="HTML26_8" hidden="1">"98/12/28"</definedName>
    <definedName name="HTML26_9" hidden="1">"オフィス庶務"</definedName>
    <definedName name="HTML27_1" hidden="1">"'[売上実績ホームページ変換用（週累計）.xls]週間数値表'!$B$3:$P$66"</definedName>
    <definedName name="HTML27_10" hidden="1">""</definedName>
    <definedName name="HTML27_11" hidden="1">1</definedName>
    <definedName name="HTML27_12" hidden="1">"z:\週間数値\1998年32週.htm"</definedName>
    <definedName name="HTML27_2" hidden="1">1</definedName>
    <definedName name="HTML27_3" hidden="1">"週間数値"</definedName>
    <definedName name="HTML27_4" hidden="1">"週間数値　32週(9/21～9/27)"</definedName>
    <definedName name="HTML27_5" hidden="1">"単位：万円　　＊既存店は 11,12,18,21,45,56,53,56,64～69,94店を除く"</definedName>
    <definedName name="HTML27_6" hidden="1">-4146</definedName>
    <definedName name="HTML27_7" hidden="1">-4146</definedName>
    <definedName name="HTML27_8" hidden="1">"98/09/28"</definedName>
    <definedName name="HTML27_9" hidden="1">"オフィス庶務"</definedName>
    <definedName name="HTML28_1" hidden="1">"'[売上実績ホームページ変換用（週累計）.xls]週間数値表'!$B$3:$P$67"</definedName>
    <definedName name="HTML28_10" hidden="1">""</definedName>
    <definedName name="HTML28_11" hidden="1">1</definedName>
    <definedName name="HTML28_12" hidden="1">"z:\週間数値\1998年36週.htm"</definedName>
    <definedName name="HTML28_2" hidden="1">1</definedName>
    <definedName name="HTML28_3" hidden="1">"週間数値"</definedName>
    <definedName name="HTML28_4" hidden="1">"週間数値　36週(10/19～10/25)"</definedName>
    <definedName name="HTML28_5" hidden="1">"単位：万円　　＊既存店は 11,12,18,21,45～53,56,64～69,90,94店を除く "</definedName>
    <definedName name="HTML28_6" hidden="1">-4146</definedName>
    <definedName name="HTML28_7" hidden="1">-4146</definedName>
    <definedName name="HTML28_8" hidden="1">"98/10/26"</definedName>
    <definedName name="HTML28_9" hidden="1">"オフィス庶務"</definedName>
    <definedName name="HTML29_1" hidden="1">"'[売上実績ホームページ変換用（週累計）.xls]週間数値表'!$B$3:$P$68"</definedName>
    <definedName name="HTML29_10" hidden="1">""</definedName>
    <definedName name="HTML29_11" hidden="1">1</definedName>
    <definedName name="HTML29_12" hidden="1">"z:\週間数値\1998年47週.htm"</definedName>
    <definedName name="HTML29_2" hidden="1">1</definedName>
    <definedName name="HTML29_3" hidden="1">"週間数値"</definedName>
    <definedName name="HTML29_4" hidden="1">"週間数値　47週(12/28～1/10)"</definedName>
    <definedName name="HTML29_5" hidden="1">"単位：万円　　＊既存店は 11,12,18,21,45～53,56,64～69,90,94店を除く "</definedName>
    <definedName name="HTML29_6" hidden="1">-4146</definedName>
    <definedName name="HTML29_7" hidden="1">-4146</definedName>
    <definedName name="HTML29_8" hidden="1">"99/01/09"</definedName>
    <definedName name="HTML29_9" hidden="1">"オフィス庶務"</definedName>
    <definedName name="HTML3_1" hidden="1">"[売上実績ホームページ変換用.xls]週別部門別実績!$BN$7:$CQ$66"</definedName>
    <definedName name="HTML3_10" hidden="1">""</definedName>
    <definedName name="HTML3_11" hidden="1">1</definedName>
    <definedName name="HTML3_12" hidden="1">"Z:\部門別店別売上実績表\1998年22週東北北関東.htm"</definedName>
    <definedName name="HTML3_2" hidden="1">1</definedName>
    <definedName name="HTML3_3" hidden="1">"週別部門別実績"</definedName>
    <definedName name="HTML3_4" hidden="1">"1998年22週　東北北関東"</definedName>
    <definedName name="HTML3_5" hidden="1">"売上日計表より　単位：実績は万円、客数は人、比率は%"</definedName>
    <definedName name="HTML3_6" hidden="1">-4146</definedName>
    <definedName name="HTML3_7" hidden="1">-4146</definedName>
    <definedName name="HTML3_8" hidden="1">"98/07/20"</definedName>
    <definedName name="HTML3_9" hidden="1">"オフィス庶務"</definedName>
    <definedName name="HTML4_1" hidden="1">"[売上実績ホームページ変換用.xls]週別部門別実績!$CR$7:$DU$66"</definedName>
    <definedName name="HTML4_10" hidden="1">""</definedName>
    <definedName name="HTML4_11" hidden="1">1</definedName>
    <definedName name="HTML4_12" hidden="1">"Z:\部門別店別売上実績表\1998年22週南関東.htm"</definedName>
    <definedName name="HTML4_2" hidden="1">1</definedName>
    <definedName name="HTML4_3" hidden="1">"週別部門別実績"</definedName>
    <definedName name="HTML4_4" hidden="1">"1998年22週　南関東"</definedName>
    <definedName name="HTML4_5" hidden="1">"売上日計表より　単位：実績は万円、客数は人、比率は%"</definedName>
    <definedName name="HTML4_6" hidden="1">-4146</definedName>
    <definedName name="HTML4_7" hidden="1">-4146</definedName>
    <definedName name="HTML4_8" hidden="1">"98/07/20"</definedName>
    <definedName name="HTML4_9" hidden="1">"オフィス庶務"</definedName>
    <definedName name="HTML5_1" hidden="1">"[売上実績ホームページ変換用.xls]週別部門別実績!$DV$7:$FL$66"</definedName>
    <definedName name="HTML5_10" hidden="1">""</definedName>
    <definedName name="HTML5_11" hidden="1">1</definedName>
    <definedName name="HTML5_12" hidden="1">"Z:\部門別店別売上実績表\1998年22週エイリア別.htm"</definedName>
    <definedName name="HTML5_2" hidden="1">1</definedName>
    <definedName name="HTML5_3" hidden="1">"週別部門別実績"</definedName>
    <definedName name="HTML5_4" hidden="1">"1998年22週　エイリア別"</definedName>
    <definedName name="HTML5_5" hidden="1">"売上日計表より　単位:実績は万円,客数は人,比率は％
既存店2は11,12,18,21,45,53,64～69店除く"</definedName>
    <definedName name="HTML5_6" hidden="1">-4146</definedName>
    <definedName name="HTML5_7" hidden="1">-4146</definedName>
    <definedName name="HTML5_8" hidden="1">"98/07/20"</definedName>
    <definedName name="HTML5_9" hidden="1">"オフィス庶務"</definedName>
    <definedName name="HTML6_1" hidden="1">"[売上実績ホームページ変換用.xls]平成8年度比較表!$B$7:$V$54"</definedName>
    <definedName name="HTML6_10" hidden="1">""</definedName>
    <definedName name="HTML6_11" hidden="1">1</definedName>
    <definedName name="HTML6_12" hidden="1">"Z:\部門別店別売上実績表\1998年22週平成8年度比較表.htm"</definedName>
    <definedName name="HTML6_2" hidden="1">1</definedName>
    <definedName name="HTML6_3" hidden="1">"週別部門別実績"</definedName>
    <definedName name="HTML6_4" hidden="1">"平成8年度比較表　22週"</definedName>
    <definedName name="HTML6_5" hidden="1">"既存店は11,12,16,18～21,30,41～53,58,60以降を除く店舗"</definedName>
    <definedName name="HTML6_6" hidden="1">-4146</definedName>
    <definedName name="HTML6_7" hidden="1">-4146</definedName>
    <definedName name="HTML6_8" hidden="1">"98/07/20"</definedName>
    <definedName name="HTML6_9" hidden="1">"オフィス庶務"</definedName>
    <definedName name="HTML7_1" hidden="1">"'[売上実績ホームページ変換用（週間）.xls]週別部門別実績'!$B$7:$AH$66"</definedName>
    <definedName name="HTML7_10" hidden="1">""</definedName>
    <definedName name="HTML7_11" hidden="1">1</definedName>
    <definedName name="HTML7_12" hidden="1">"Z:\部門別店別売上実績表\1998年4週札幌地区.htm"</definedName>
    <definedName name="HTML7_2" hidden="1">1</definedName>
    <definedName name="HTML7_3" hidden="1">"週別部門別実績"</definedName>
    <definedName name="HTML7_4" hidden="1">"1998年47週(1/4～1/10)　札幌地区"</definedName>
    <definedName name="HTML7_5" hidden="1">"売上日計表より　単位:実績は万円,客数は人,比率は％ "</definedName>
    <definedName name="HTML7_6" hidden="1">-4146</definedName>
    <definedName name="HTML7_7" hidden="1">-4146</definedName>
    <definedName name="HTML7_8" hidden="1">"99/01/09"</definedName>
    <definedName name="HTML7_9" hidden="1">"オフィス庶務"</definedName>
    <definedName name="HTML8_1" hidden="1">"'[売上実績ホームページ変換用（週間）.xls]週別部門別実績'!$AI$7:$BM$66"</definedName>
    <definedName name="HTML8_10" hidden="1">""</definedName>
    <definedName name="HTML8_11" hidden="1">1</definedName>
    <definedName name="HTML8_12" hidden="1">"Z:\部門別店別売上実績表\1998年47週道南道北.htm"</definedName>
    <definedName name="HTML8_2" hidden="1">1</definedName>
    <definedName name="HTML8_3" hidden="1">"週別部門別実績"</definedName>
    <definedName name="HTML8_4" hidden="1">"1998年47週(1/4～1/10)　道南道北"</definedName>
    <definedName name="HTML8_5" hidden="1">"売上日計表より　単位:実績は万円,客数は人,比率は％ "</definedName>
    <definedName name="HTML8_6" hidden="1">-4146</definedName>
    <definedName name="HTML8_7" hidden="1">-4146</definedName>
    <definedName name="HTML8_8" hidden="1">"99/01/09"</definedName>
    <definedName name="HTML8_9" hidden="1">"オフィス庶務"</definedName>
    <definedName name="HTML9_1" hidden="1">"'[売上実績ホームページ変換用（週間）.xls]週別部門別実績'!$BN$7:$CQ$66"</definedName>
    <definedName name="HTML9_10" hidden="1">""</definedName>
    <definedName name="HTML9_11" hidden="1">1</definedName>
    <definedName name="HTML9_12" hidden="1">"Z:\部門別店別売上実績表\1998年47週東北北関東.htm"</definedName>
    <definedName name="HTML9_2" hidden="1">1</definedName>
    <definedName name="HTML9_3" hidden="1">"週別部門別実績"</definedName>
    <definedName name="HTML9_4" hidden="1">"1998年47週(1/4～1/10)　東北北関東"</definedName>
    <definedName name="HTML9_5" hidden="1">"売上日計表より　単位:実績は万円,客数は人,比率は％ "</definedName>
    <definedName name="HTML9_6" hidden="1">-4146</definedName>
    <definedName name="HTML9_7" hidden="1">-4146</definedName>
    <definedName name="HTML9_8" hidden="1">"99/01/09"</definedName>
    <definedName name="HTML9_9" hidden="1">"オフィス庶務"</definedName>
    <definedName name="HTMLCount" hidden="1">1</definedName>
    <definedName name="HVGMUKTMOB" hidden="1">[42]②仙台!#REF!</definedName>
    <definedName name="HVMVOQDQVSB" hidden="1">#N/A</definedName>
    <definedName name="HWDCKMNJWDASJKUILSQ" hidden="1">#N/A</definedName>
    <definedName name="HXDDLNOKWEASJKVJLSQIOBBLSGPFRANAFPGSJPKQYGNPTBOOWRSOBPFEUPOKRWNNHHUZFTDTFOUOMJSRCCFDJSSDEIULTJMWAVKCBEWTWMZSACDZLAPHFMIDKPGGATHSYFWFYANHWFEPANPOTVCNOTXVUEOXUPFKKJLEAETAZHJLEMIARTLNUZKRHUFFTKSLNANTQZYJSOMRAHSMRCAPQGQTXRHMMITXAZYGIKGSQIZAKYBIGXERREJPQFRANAG" hidden="1">#N/A</definedName>
    <definedName name="HXJSFSYUEVHYEHFLTB" hidden="1">[42]②仙台!#REF!</definedName>
    <definedName name="i" hidden="1">[34]RD9501V!#REF!</definedName>
    <definedName name="IARSCQTAYPWJJWBHVXJSFSYVEBTYBZFOVZAEQOCWHHHJCFLYYGBCYCRQHBMHCJAZTTHLRFPFRAGAZWFDPGAYEMNYYDPFUVYIMHWUUTWOLPERKSUVRDSHRMWRMTYQQJCQKSIRKKEDAJITEQTRTALMRWTIPZJTNDIIHJCYCRYXFHJEKGYPRBPRYDOVOHVGGUKTIVIOLUSEPBXVBJRCVAMJYSCFJDTSRUFJMBIIQRTPBJFXOPZOQXPWJJXBHVFVHQD" hidden="1">#N/A</definedName>
    <definedName name="IECIQXI" hidden="1">[42]②仙台!#REF!</definedName>
    <definedName name="ＩＥＱＦＵＴＫＥＯＫＦＭＲＸＱＲＥＩＰＤＮＣＭＳＭＬＩＲＰＢＳＹＡＧＰＰＡＢＦＲＩＷＥＶＹＨＬＧＷＵＵＴＷＡＤＴＧＺＨＪＫＧＶＬＤＢＶＦＫＲＷＯＯＨＡＯＺＦＮＤＭＦＨＵＯＮＫＴＥＰＣＦＤＩＫＲＣＤＩＮＫＺＨＱＡＫＨＢＫＬＫＭＦＢＦＵＢＸＺＡＷＩＱＡＲＳＣＱＴＡＦＰＷＱＲＣＣＱＨＰＩＴＧＬＩＳＱＢＭＺＶＴＰＸＩＢＧＳＰＥＦＶＦＩＭＨＸＢＢＳＤＨＫＺＧＧＯＰＲＮＰＭＥＶＷＧＵＸＥＣＴＡＮＮＭＴＨＱＧＳＢＯＢＨＥＮＥＱＩＮＫＰＹＦＪＫＰＡＹＮＮＥＦＪＥＵＲＳＲＴＭＰＴＢＯＯＴＵＱＣＲＧＦＷＱＢＷＲＹＤＶＶＯＯＣ" hidden="1">#REF!</definedName>
    <definedName name="iiii" hidden="1">#REF!</definedName>
    <definedName name="ＩＪＦＳＧＷＶＵＦＡＶＣＨＺＺＳＳＧＫＱＥＯＥＱＺＯＭＪＳＲＪＰＳＱＷＥＦＰＱＶＨＸＭＵＫＮＸＸＮＫＬＫＭＱＵＪＷＰＸＺＡＷＭＢＴＲＬＶＲＩＮＥＥＹＲＥＰＷＤＵＣＶＸＫＥＤＡＪＩＴＥＶＴＺＡＩＳＴＹＤＡＰＸＦＯＭＧＷＢＢＡＤＶＳＶＫＲＱＺＡＣＹＧＤＶＭＮＸＬＯＶＡＫＲＬＥＲＣＣＱＨＰＺＭＺＦＣＬＪＩＵＱＯＲＺＪＤＩＵＲＧＨＸＨＫＯＪＹＤＤＴＦＩＭＢＩＨＰＲＴＯＢＩＦＸＯＰＺＮＱＫＢＩＵＵＩＭＴＨＲＧＤＱＤＩＦＰＧＳＪＰＥＫＴＡＥＦＪＶＴＨＩＺＣＬＰＫＡＹＹＸＡＫＯＷＪＪＲＭＮＪＺＯＮＥＹＩＥＺＮＥＥＹＹＬ" hidden="1">[7]RD9501V!#REF!</definedName>
    <definedName name="ILPXKKSNOKXLAZQLVTAFXFFTXDRBRDMSMKHRPASYNTCCNOSEVJRHLUYTJGHKCZCRFXFHJFRGVNLFPLGNSFZSFQXEVDWYLFEBKJUFRUZBITUYDBQXHRAYSINNEWTWLSSABDZLTWNOYNPWBMSMFTEDQZSUHULUTEPCYWCKRCPBYNOEORVQGKKKMYBVCBJLNIVCZRIJDFMKCXXKPVJTIUDQDJGPHZEHFLTBFFKWTIPSBFAQOOXQTXFSSAVWSIYXOIS" hidden="1">[42]②仙台!#REF!</definedName>
    <definedName name="ＩＯＩＢＰＡＺＮＥＮＧＩＶＩＮＦＤＰＡＭＩＧＭＳＤＸＣＯＬＡＢＲＢＥＩＣＳＸＸＷＺＫＫＡＧＧＯＱＲＮＺＨＤＤＥＯＤＦＭＫＢＩＶＶＪＮＴＨＲＨＴＣＯＴＱＺＲＣＵＡＤＢＧＣＧＨＭＸＮＯＥＩＲＶＱＧＤＥＤＦＹＢＺＭＭＵＰＱＭＹＮＣＢＳＤＹＴＡＦＸＸＱＱＥＩＯＣＭＦＯＵＯＭＪＳＲＣＵＡＤＢＧＰＰＡＥＱＧＶＤＩＲＶＱＧＤＥＤＦＹＪＹＭＦＮＯＱＭＹＯＧＥＹＩＥＺＧＬＤＣＷＰＤＯＵＢＳＢＵＨＢＡＸＧＥＱＢＮＱＯＵＷＤＯＯＪＨＶＤＮＸＧＥＹＯＴＴＳＶＶＺＯＵＵＣＥＦＢＮＶＲＭＮＸＬＯＶＡＫＲＬＥＲＤＣＱＨＨＪＷＪＯＬＶＴ" hidden="1">#REF!</definedName>
    <definedName name="IOVMVNQGFCLJVGSVNPWHINSPEMVFPMGJJJLEAETZZHJKGTAWOFHRFDITZTMALKYPYRTGHENLXIUQOUCKDIURGHXHKOJYDLNZCGVBBJLMIVCYQHJTHJQVCOOCGMBKAMVIVBYGSKPSQWEMQQVHETUKLQKAYYXASWZHVUCXZVHWLJDOJEFWWQMQWKYKTZTSPYXIORPVDEOPUGWLTJMWAVKIIHRORGUDFGCODSKICNIDKPHPIVHNULUMPBWURASDPSL" hidden="1">#N/A</definedName>
    <definedName name="IUINKTLWOUXVAFJKOAYMNDYCXNLLKNXAJWWHIERFUTKFPKFMSJJCCQPDNDPYEYXUDVNSVTZHIINZPEMCFPTOEBBBEAETGZHJKGTHDBVGBLRIIBVITAHYGQDXWTCUERUSYZHRSXCZKUENKFVZAZBUCRYYGXTGNKCTUESVCHRYSLYKFWFXAPURAZKVIECHQXICHSQFEORVPFKKJMXBEUAAIKLHTBEVWGVXECTANNBFLRHTCPCHEUFXCFDJSZDDIUR" hidden="1">[42]②仙台!#REF!</definedName>
    <definedName name="IXFOYIFAQUVUWPLPELKFHDPXTLCDNCELQBHBUITSJRKMZMSPITERNLQZGRLQCZOPFPSWSXXWYKNRGNMUJFRZVNEFQEGNLDKWWKGUETGOBGCMDPGMPNTBJMNSEBCSWFJEURSRTAEMAZHCEAMBQPGAKGBINEEJXBHVFVHQWQPGFQINQOOPZAFRHWEUXHLGVTTSVWZOCVDEGCODSKIYTOVBSXQDPVCNGIVPOLUSEMPNTNYZEIGVCMWFDZDDCFXUYNT" hidden="1">[42]②仙台!#REF!</definedName>
    <definedName name="IYBLPKAXYXZSOKYQYACXKZRPJTPKRWONHAOZFMDMFHGEBKJUFSVTYAHSTYDAPWGQADTXMSMOPLXFBTKLWKMTYHBUITSGXKMZMSPYXITFBZFOVGAEQOCYILPKAEFEGHKZGFOPRNZHDVFPDGNLCJWWJOTDTFGTZVFWIZFIGMUCFGLXUVLPYCXNKLKMFIMAZHCEAMBQPGAKGBINEEYYMQWFVHQWQPMVTFXCFOWXHIKBPXORAEZPNNMOHDHWUCEFBOD" hidden="1">#REF!</definedName>
    <definedName name="ＩＺＺＴＳＷＤＲＢＱＣＬＲＬＫＨＱＰＡＳＸＡＹＥＹＪＫＰＡＲＧＣＦＰＴＯＤＢＢＢＨＤＨＷＫＷＸＺＶＨＷＬＤＢＶＧＨＯＵＬＬＷＫＶＢＩＺＩＢＢＶＵＲＡＹＫＶＨＫＩＯＰＸＵＹＤＢＰＸＧＲＡＸＳＩＭＮＭＯＨＤＨＷＤＣＫＺＶＩＰＭＥＶＷＧＵＣＨＳＹＳＬＺＫＪＸＯＸＱＳＦＳＧＰＮＺＫＷＳＱＷＥＭＣＧＳＱＥＦＷＧＩＭＨＸＣＣＰＡＥＨＸＤＤＬＮＯＫＷＥＡＳＪＴＨＫＲＰＧＬＬＺＤＪＸＩＵＤＱＤＪＧＰＨＳＫＰＳＱＷＥＭＱＧＳＱＥＦＹＨＬＧＷＵＵＴＶＯＧＰＣＣＫＦＧＡＯＥＤＴＯＹＴＰＶＢＳＳＭＬＰＶＪＴＪＶＥＫＥＣＺＪＨＳＯ" hidden="1">[7]RD9501V!#REF!</definedName>
    <definedName name="j" hidden="1">#REF!</definedName>
    <definedName name="JCWJUUIZHVHVAXGFQZVTZHEYDOTUKUXBWLQQPSDHKAGGOQRELHAQSCQSQHOBBOTZIYKTGTZWFMEJMKSZDDIURGHXAKOJZWXKCGJRFEMHJFRGVPKUPKRXOOHHVZGUETFOUONKKVNTYEMNYYDPMUKNXBWMJKJLEAETGZHWSETIAYSCYTAFWWQJXIARZSUHBAXGFQBNQOUWDOPQODKUENLFVAAZCURUJWEGIEQYUMDEOJQVGNGZNQEVDWYLYEBKJUF" hidden="1">[42]②仙台!#REF!</definedName>
    <definedName name="JFSGWOLGQLHNTKKDXKVCLUNPCWVRBZLVILEFNXLQNCKTDNKFVZZZBUQUJEMOPLYFBTKMWBINYEYRFQPDUDWYLYEBKIGSOMSAITMRDLMCMPTNDIILWADSZZHIKGSAWOFGRFDBSZMMZEKYIXJSFTYVLWOUXVAJQDHTRFGXAJNIYWWVXQTXFTSAMIUJYXOICYFKBBVVINISIUDJDCZIGSJPSQAALMQCTHPGJYSIGGFIAXAQDWEGHDPIAXSCIPULLFY" hidden="1">[42]②仙台!#REF!</definedName>
    <definedName name="ＪＬＥＨＬＴＧＧＯＪＫＧＴＨＷＶＭＨＲＧＮＳＪＪＤＤＱＶＢＰＺＯＢＪＶＵＲＡＹＫＢＨＫＺＩＩＴＴＹＫＢＰＸＮＲＡＥＺＰＭＮＭＯＰＳＨＶＯＷＸＺＶＨＷＬＤＵＥＺＵＢＧＹＹＲＫＹＪＪＺＩＢＤＱＫＪＧＰＮＺＫＷＺＸＤＥＭＸＸＣＱＥＭＷＧＰＭＨＸＣＣＢＤＷＳＷＬＳＲＺＢＤＹＥＡＳＪＫＶＪＬＳＸＮＨＡＮＹＹＭＤＬＥＧＳＸＵＥＺＫＷＳＱＷＥＭＸＱＶＨＥＴＵＫＵＸＢＷＭＣＢＤＰＳＷＬＳＲＺＢＤＹＬＴＰＨＹＺＪＹＦＤＶＢＡＮＲＹＭＷＬＸＧＴＧＭＪＳＨＺＥＨＦＬＵＢＦＧＫＷＴＩＬＯＹＣＷＭＫＫＪＭＥＩＬＴＨＧＰＪＬＨＴＩＵ" hidden="1">#REF!</definedName>
    <definedName name="JMTYIPJCPBAOFNGIVJOLUTANJHMVCNHMXVKLWZDYOSSSRUYNUTBDFBGCULMXLNUSKRDDRVBQZPWJWCYIZLCILJPXFIJOAXMOSBFAZZYBTXAHHPKLHUIYWNISNJGXXRREJPDNDPYEYWTMYPVYWCKLVMYODLBEOSNDABACVRVKXQYNJVKZRPJUPCIZZSGRYFVILXSQNWVGRDGEKMTEFAXMUDNXUPEJJILDAETZZHJREMIARSCRTAFPWQJXIHVGZBO" hidden="1">[42]②仙台!#REF!</definedName>
    <definedName name="JMWAVLIIIKSVDRQYTVRDLKBWGBWDJSKQTRWFFQRWHYNULOYCXVVVXQMQFSLTIEQFUMKEOKQVNNGGRXEVEXZMGFCLJVGSVKMTEEJOLNWGQNIXCCBPLPEKKSUVRELHAQSCQSZFPWUHTSGXFYANBGDMLWHTPFNVFZEQNCDTDGQGKLKMYBFUAAIKLYGCULMXLNLCJVWJNUISHTCWCZIALDILJPXFJJOAXMNDVZTJHHGJBFIQEDMGIEQFUTKHCXEKBBU" hidden="1">#N/A</definedName>
    <definedName name="JPYYJKOARFNDHQUIFGFHAWAPDVDFHCPDTLJDNYFKBBVEPOLUTEPBECIKRCDHMKYKUDAVLPQPRKGKZGFNPRCJGYPQAORYDNUOHUGFTKXZMZFCLJVFSOMSAVPTFDRSJTVZUKOPOQCFBHHPRSOBIFXOPZNQWVMTRFJPDNAJWJPMVNYQVYWCLSWWBWLLCFOTNDBBADVZCKYXUWRESIHYSCXTAFWWQQDIOCEQZFZYVEDOGLYEMNXYDPFUCSVFJETRRQT" hidden="1">#N/A</definedName>
    <definedName name="JRNFWXHWYFDVBDQVBPZOBJWKUDVGYEHFISBFAQNILDHKTGGOJKGSHWVMGRMHOTTMNAELZJYKTZTSNLXOUXVBJKUVAMCRZBKOJZXXWYRNRGUMUWYTJYROJTOJQVVPIVGJZIBDQKJGPNZKAYEGNYYDIGUCLWFSINNMPHEHWDDLMOKMIARSDRTAFQWQJXWKBKDFSFKHQPALYUGOWGAFRODEUEAVKPPOROSHNNVXYUGOKCTVFTVCHNAAOSYMWMYVIOL" hidden="1">[42]②仙台!#REF!</definedName>
    <definedName name="JSLNANTQ" hidden="1">[42]②仙台!#REF!</definedName>
    <definedName name="k" hidden="1">[34]RD9501V!#REF!</definedName>
    <definedName name="KAPXCLPKAXYXZSOSHZHJKGTHXPMHRMALXIUXVBCKVVAFCRZENLFLLKNNRGMMUWXTGNJCSUESVBHRYWKVUIZIBDQDIFYKVHDBHPXIBGSPEFRTYSINNMPAEHWDCKZVIPMEVWGUXECTAYMQWGVHQDQWTCUFXCFDDKOPUGDSTJMWAUKIIHKCGJSQYTUQDRRICMHDKPGGAANSYMWLSYSROXVHYEHFLTUEFKWMBKOXBWMJKJLEAETHZHWSETIAYSDYLRI" hidden="1">#N/A</definedName>
    <definedName name="KCTUESVBDKWWTZOXNZIUZWFXIAFIHMVCGHMXVJKBENEURSRTMPMAZHCEAMVULFPKGNSJJDDQVBKAMVBVURAYKCHKIOPZAFRHWEUXHRHEFEGZVZOCUCEGBOCPNHSNIPUMLKXIPWMVOQDXWTCBMBECIKRCCHMJYGPZJGBRVWVBYBQXWFGIEQYUMDEODFMRCIAOZYMDMFHUYUECOYLHFLSDXCNLABRBEICSXXWZZDSYYGIJFSZWOLVJLSRIPBCPTAJ" hidden="1">#REF!</definedName>
    <definedName name="ＫＤＧＫＳＧＦＮＩＫＦＳＧＷＶＭＧＱＴＡＦＷＷＱＱＤＩＯＣＭＢＯＷＤＸＥＮＬＸＯＵＸＶＢＪＫＵＹＫＢＰＸＮＭＱＫＡＹＹＸＡＳＰＳＨＶＯＷＸＺＶＨＷＯＭＨＲＭＨＯＵＬＬＥＹＩＯＶＭＶＮＱＣＸＶＳＢＡＬＷＫＩＯＰＸＨＩＮＳＰＥＭＶＦＰＭＨＷＢＢＡＨＤＨＷＤＣＫＭＮＨＰＬＤＵＶＦＵＷＤＩＴＺＴＭＡＬＫＹＰＹＦＳＦＫＨＲＰＡＬＹＵＳＹＧＮＹＳＸＪＧＶＫＵＸＢＸＣＣＢＤＰＳＷＬＳＲＺＢＤＹＬＴＰＪＫＶＪＬＳＱＩＰＢＢＰＴＺＯＸＮＺＩＶＩＷＦＸＩＡＦＩＧＭＶＣＧＨＬＸＶＪＫＢＭＱＫＡＹＹＸＡＳＷＺＩＶＶＤＹＺＶＨＸＶ" hidden="1">[9]RD9501V!#REF!</definedName>
    <definedName name="KDWKVBJZIBDQKRAZKVHKIOQXIJNIWEOYHEZPTUTVOKOPGHRGIPUELFYMXWKBKQDQWTCAMXJVBJRBLXVJKALNRMCGHGIUXVBBJLMIVKCTVFTVCBSZLLZBQZPBKXKQNWKCHKJOXEIJOZXLMDGPUOEHGIBEIQEDLGIDQEUTKEOJXCUTNNBFLZJZLSMKHQPASYBZENNKPBRGOEHRVQGDIKDZDSFYGIJFSGVOLGWSZEVVPIWHNULUNPCWKTRDOADBHIQ" hidden="1">[9]RD9501V!#REF!</definedName>
    <definedName name="KDXKVVJAIBDQDJGPOZ" hidden="1">[42]②仙台!#REF!</definedName>
    <definedName name="ＫＥＸＬＷＶＪＡＪＣＥＲＥＫＴＲＤＯＡＪＰＸＥＰＪＯＭＡＢＲＣＥＩＤＴＸＹＸＺＬＯＷＤＣＫＭＯＪＷＥＡＫＭＷＫＭＴＳＪＱＤＤＱＵＢＮＤＰＹＬＹＥＢＫＢＮＦＫＮＬＲＶＺＡＥＱＯＣＤＵＸＧＫＦＶＴＴＪＣＦＪＲＧＯＪＫＧＳＨＷＶＭＧＡＷＤＩＺＺＴＴＧＬＲＦＰＥＱＵＯＮＫＴＲＤＶＳＱＶＥＥＰＱＶＧＸＭＵＫＵＹＴＪＧＧＧＩＢＸＢＱＤＷＥＧＨＤＱＥＡＹＳＤＹＴＡＦＸＷＹＬＸＤＫＢＪＣＥＲＬＫＦＤＰＡＭＰＮＴＵＣＮＮＺＷＬＳＣＭＷＣＳＷＸＷＹＲＮＲＧＮＭＵＷＸＴＧＮＫＨＩＴＨＪＱＶＧＮＧＺＮＹＹＭＣＬＥＩＶＡＸＧＦＱＢ" hidden="1">[7]RD9501V!#REF!</definedName>
    <definedName name="KFVAAZ" hidden="1">[42]②仙台!#REF!</definedName>
    <definedName name="KGKZMFNPQMZNCUYIDZGLCCWPCOUBSBTUOMJTRCNADBHIQMSOAIEWNOYNPMXEXQEPPDTCIVJOLFQBNJHNWDOIJHWXNXAEYOTTSVGKNCJJRSUOVSKBCMADJIZGTTGLQAQCLYLQNXOZRXAYEMTXYDXMNDGFAQNONTXAIWVEYAWIXMLCWNJQVMMGGTXESCRDMSMLIRMEKNLQZZKLQBSHPFISWQGEESKHKZNFNPRNZOGEYJEZGLDDWPDOUCSBIVPNKTS" hidden="1">[42]②仙台!#REF!</definedName>
    <definedName name="ＫＩＣＮＩＤＫＰＨＨＡＴＤＫＲＩＱＪＬＹＳＲＯＸＦＱＤＧＥＪＬＳＹＤＩＦＮＷＧＱＮＩＹＣＣＣＥＸＴＸＭＳＳＡＣＤＸＦＢＴＫＬＩＫＲＷＨＯＨＺＫＫＹＰＸＱＳＦＳＹＶＥＤＫＸＴＲＸＦＪＣＨＴＱＦＧＷＧＪＮＩＹＣＣＣＥＱＴＸＭＱＹＡＣＸＫＲＯＩＪＵＩＫＲＰＨＮＡＡＯＳＹＭＷＭＹＨＵＨＮＦＷＩＺＴＲＸＧＰＱＶＧＥＴＴＫＮＸＢＶＬＪＪＩＬＤＨＫＲＲＺＵＶＲＥＴＳＪＤＮＩＥＬＴＳＭＭＡＥＫＹＩＹＫＴＺＴＮＷＶＧＹＤＧＶＥＥＰＱＵＧＸＭＴＫＮＷＡＶＬＵＴＷＯＬＰＥＲＫＳＵＶＲＤＳＨＺＸＲＣＸＳＱＩＩＢＵＩＴＺＨＥＸＺＭ" hidden="1">#REF!</definedName>
    <definedName name="KIOXEIJNZXLMCGOIYWWVYQUXGTTBWXTFMLCWGCXEJAAUUIMSGRITTYKAPXNQAEZPMMMOHDHMFNPQMYNCUSMXSNUZRRKCNUBSATVICBYHGRCORGIPABGLIXFOYIFZPUUTWOLPVVDFGCPWTLCDNBELQBUOBMMARZSUHUAXGFQBNJQZGRLQBZOOFPSWQGLLKKNRGMMUWXTFNJBSTESUBASEESWDRAQCLYLROXPVADBHPXBBGAPQGJTXSIFGFHADHPC" hidden="1">#N/A</definedName>
    <definedName name="ｋｊｊ" hidden="1">[27]A!$AB$37:$AH$37</definedName>
    <definedName name="ｋｋ" hidden="1">'[44]5月'!#REF!</definedName>
    <definedName name="KNLRZAKL" hidden="1">#N/A</definedName>
    <definedName name="ko" hidden="1">#REF!</definedName>
    <definedName name="KODJJRTUQDK" hidden="1">#REF!</definedName>
    <definedName name="KSTDEJVLAIYBLPJZ" hidden="1">#N/A</definedName>
    <definedName name="KTMOBOURAYKVHDBHPXHBGZOPFPSWQGLLYKNRGNMUWYTGOKCTUETVCARWWKOUETGOBPUMDPGMPNTBJMNSEBQRHKJEURSRTMPTAZHCEAMBQPGAKGBINQJJXBHRGSBHCASQCTZCAGOPZRCTIPGJTXRQQQSLHLANGOQRNAPHFZJFAHMPIBPAGOENGIAZWFELYAZEGNYZEIGOXHROKPPOQRUKQQYABXJRNIJTIKRWHNHAOZYMXQSFSYVECOZLHFLUBMF" hidden="1">#N/A</definedName>
    <definedName name="KWFSFLIRIUMRUSY" hidden="1">#N/A</definedName>
    <definedName name="ＫＷＵＩＪＡＫＭＱＬＢＧＧＦＨＴＷＡＮＮＶＸＦＳＺＷＯＦＧＱＥＨＯＭＤＱＱＤＩＯＣＭＢＮＷＪＧＤＮＥＱＨＮＱＯＵＣＫＮＯＴＦＣＲＳＪＴＸＳＩＲＱＴＬＯＳＡＯＮＣＤＺＬＡＡＱＬＶＱＲＷＮＮＨＨＶＱＦＯＥＱＺＦＺＹＶＥＣＯＧＬＯＤＭＭＸＹＣＯＦＴＢＳＬＰＫＡＹＹＸＡＳＱＧＴＭＵＷＸＴＦＶＮＬＦＰＫＧＮＳＪＪＤＷＪＶＢＩＺＨＡＢＶＴＱＡＹＪＵＨＫＩＯＰＸＨＩＮＡＰＸＧＱＡＸＳＩＭＭＭＯＣＦＵＢＡＩＫＭＩＵＣＹＱＴＥＳＵＢＧＲＹＲＫＹＪＩＺＨＡＣＰＣＩＦＯＮＹＪＶＲＰＶＥＬＷＱＵＰＥＦＶＦＩＭＧＷＢＢＡＤＯＳＶＬ" hidden="1">[7]RD9501V!#REF!</definedName>
    <definedName name="kyou" hidden="1">#REF!</definedName>
    <definedName name="LAZQLVQLSYP" hidden="1">#N/A</definedName>
    <definedName name="LBNWJWBYHZKCILJOXEMRDAPQGJTXBZZYBTXAJWWEZAWIXXJJWAHVFUGPVPOLUTEWBECKLWWBGVDTWGKOMMLOGDGWJCKMNJVKDBVFAWDIZVPCNUBSATVICBYHGRCORPRYJKFCRZISCZURRQTLIMBHHPRSOAIQHITHJQVGNGZNYXMCLEWJPLVTFPCYWCKSCWBNKZAQABVLQQPSDHKRRZBCYKSOABMACJIZGSSGKRFOEQZMZFCWIAFIGMUCGGJGVWM" hidden="1">#N/A</definedName>
    <definedName name="LCDNBEXPVIIWAGMCOXKXDAJAMEJMENUYZEPNCCTWGKEUSSRUYBKXXFABXJYNMDYIDYFQQKKYCIWGQZFZYVEDUADBHPQABGSIXFVYIMHCCCEXLBOHPRSOAPEWUOZUPWBBUNBMSAQZSUHBAXGEQBNQOKRCDHMKYGQAJGBRWWVXQYNUTCDFBNGYPQAORYDNUOHUGBSBUWJWBYQBMZVTZHPZTYKHWXFIMHWBBADPSZGGOPRNZLDUVGUWDBOBBOTZNXM" hidden="1">[42]②仙台!#REF!</definedName>
    <definedName name="LCDOCELQBIBUITTHXGZBOBHXVHSEAYEITNSDBYPZBFAQVVUXIMPELHJKGTAWPFHRFHONELYYLPWKRDMZMSPYQBTYBZFOVOTFCRSIDHCSPQPRKNRZNMUPROCSRICMHDKPGGAANSYMWLPVPNKTSDVBECHFQRVHYMULFJEUSSRUXBQDWOPLYMBURMWRINFEYRFQMCLEGTNXGFQBORPUWSTXCAOWGQZWRHLMLNGCGQQYABXJRNFWYIHOTDKEXKWVJAI" hidden="1">#N/A</definedName>
    <definedName name="LDDWWKOUISIUDJDCZIGTZCAGOPZAFRHWEISWRHEEEGZVZOBUCEFBOCSKOYTOVDDXQDPVCTGIVPOLUSEPBECIJRBCHMJYGTDAVKPPORJGJZHPRTPBJFXOPZOQNYFYRCBPGOHIVBYHFRCVTZIPAUYKIWXNYAEZPTFHTWAPVVDFGCPWSLBDNBDKLSFFTXDRBRDMZMROXPASVTZHOSTYKHWXNQAEYOMMLOGQYMLTOQMYNMDXIDYFKCCHUYFTDSENTNM" hidden="1">#N/A</definedName>
    <definedName name="LHZQRBQSZEOVPIWHGULUNNAGDMHSEAZEGQKPBYNOEORVRVWVXJMQFXFHIEJGYPQAORHZGSSGKRFOEQZMZFCLCOGLODMTXYCXMMDGFAQNNNTWAIWVDYAVIWMLCWGIPUMMFFTPDNCOXDXWTCBMEJMKQZWWBNDSAQTDHCSPQPRSVKYQMNJWKZBVFAWDIZZTMALRYPCERLSBZLWILJPRYVZECQTDNKFVZKMFBFUBAIKMHUBYQHESVBHJDWKVUIZIBDQ" hidden="1">[42]②仙台!#REF!</definedName>
    <definedName name="LIRQB" hidden="1">#N/A</definedName>
    <definedName name="LIXYKNRLBGGFITXAPWVEFHAIEWAKYBHGXERREIPDNCJWJOLUMXPVYWVDHHMYVWNQZEYOMMLOGKNVJCXYUGVKJAVHCJOGGZZNRXMVLXGMQNWVGYDGEKTTEFJVMAKNXBWLJJILDAETGZHJRESIAYSCXTAIHBUITZGRKMZTSPYWITFIGMNVFGLQNVFPHCRWWVYQNQGMMUWXTFNJBSTDGNSCJDWJVUKTMOAFCLKVGSPNMUFYDPMBCSCFJEUYYYAAETA" hidden="1">#N/A</definedName>
    <definedName name="ＬＪＰＲＴＴＹＤＡＰＸＧＱＡＸＳＩＭＭＭＯＨＤＨＯＮＶＸＺＵＮＪＢＳＴＥＳＵＢＧＲＹＲＫＹＪＩＺＨＡＣＰＴＱＺＹＪＵＨＤＢＨＰＳＭＲＤＡＰＱＰＳＷＲＧＬＬＫＮＺＣＧＮＭＵＷＸＴＧＮＫＣＴＵＥＳＶＣＡＲＹＬＫＯＵＩＳＩＵＤＱＤＲＡＳＤＶＡＤＢＨＱＸＢＦＱＯＤＤＵＳＷＲＧＥＥＥＧＺＣＧＯＢＢＪＥＦＢＯＣＣＴＮＸＳＯＶＡＲＲＬＬＹＤＪＳＩＵＤＪＤＣＺＩＧＳＪＰＳＱＷＥＦＰＱＶＨＸＳＩＬＶＺＵＫＵＴＶＯＫＯＤＱＪＲＴＵＱＤＲＨＺＷＲＩＤＫＰＧＧＡＴＨＳＹＦＷＪＬＹＳＲＯＸＶＨＳＥＨＦＬＭＵＥＩＮＬＺＨＲＢＫＨＤＩ" hidden="1">#REF!</definedName>
    <definedName name="LLTVWSFMJBSTDRUAGQ" hidden="1">#N/A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v" hidden="1">{"全社（月度）",#N/A,TRUE,"印刷シート";"全社（下期）",#N/A,TRUE,"印刷シート";"全社（累計）",#N/A,TRUE,"印刷シート";"北海道（月度）",#N/A,TRUE,"印刷シート";"北海道（下期）",#N/A,TRUE,"印刷シート";"北海道（累計）",#N/A,TRUE,"印刷シート";"東北（月度）",#N/A,TRUE,"印刷シート";"東北（下期）",#N/A,TRUE,"印刷シート";"東北（累計）",#N/A,TRUE,"印刷シート";"本社（月度）",#N/A,TRUE,"印刷シート本社";"本社（下期）",#N/A,TRUE,"印刷シート本社";"本社（累計）",#N/A,TRUE,"印刷シート本社"}</definedName>
    <definedName name="LZHRBKHCSWXWYRNRGNMUWYRZVNEFQEGNKQKDRCBPGPIKXKQMWUGOKIOXEPINIXYOYBFZPUUTWHLOVVDFGCPWSKBDNBDULSFFIOCMCOVIOLUMXPUXVBJRVVAMJYBEOSMCAAZCUNVIIXYUGVVMGQSZEWVAOSZNXMYZTROXWHZFHGLUURWIYNVLOYCWMKKJMEBEUHAVWSFTJBYTDYUAGXXQKXIPWNACPJIEOMYIVYWCWHHMROXGQAXSIMMMOHDHWCC" hidden="1">#N/A</definedName>
    <definedName name="MAEKYIYKTGTYVFTLQTRXFNRRWIFUVLOYCXNKORJNQZMMHIERFUTKFWRYDVTTGLRFPEQYSQNXVGYEHFYYJJOARFNDHQUPFCDCEXPESKTUWSETIAYSCELQIHBUITZCKDFSDAKITERUSYZHRSNKZHQAKHCSWXWYRNRRQZACDKHZQRBPSZEOVPIVHGULTMGTZWFDPAMIENUFZDPNBCTDFJEUYJMXBYEEMOPLXFBTKMWKMTBIVVINTHRGSBOCHENFQIN" hidden="1">[42]②仙台!#REF!</definedName>
    <definedName name="MFTEDRIRKMZMRJHTEQMKQYGRKPBYNOEORVRVWVXJMQFMLTVWSFMJBSTDFMKCIVVJFTDSENANTQZRCUZCAGHLMRDAPQGJTXRHFFSLOSANNVQRNAOECTOYTPMEEXXBHVFUGPVPOLUTINQOUCDNOTFVDTXGKFVSTSYVYNBUPQMYOGEYIDZGLCHAOZYPXQSFZCLJVGSVTZBITTYDAISCLJDTYYLEAETZZHJKGTAWOFHRFHOUEQJXIHXGZBOBHENITFB" hidden="1">#N/A</definedName>
    <definedName name="MJEUYZYATPTIPOWYAVIQM" hidden="1">[42]②仙台!#REF!</definedName>
    <definedName name="ＭＬＮＺＣＧＦＦＮＯＱＭＹＧＣＵＢＬＺＣＪＨＹＦＳＳＦＫＱＥＯＤＮＡＮＴＱＺＱＣＵＺＣＡＧＯＷＡＡＦＤＳＳＪＭＷＡＵＫＩＩＨＥＨＬＴＧＧＯＪＫＧＴＨＸＷＮＨＲＭＩＩＡＡＴＴＨＬＲＧＰＦＲＡＧＡＺＷＦＤＰＨＭＣＨＱＱＢＣＨＳＭＵＫＯＸＢＷＭＪＫＪＬＣＧＶＩＢＪＬＭＫＹＮＧＤＹＩＤＹＺＲＱＫＤＲＸＥＶＤＷＹＬＦＥＢＫＷＨＴＷＵＡＢＪＵＵＺＥＢＱＷＧＱＮＨＸＲＱＳＬＨＬＡＨＧＦＧＣＯＷＳＫＢＣＮＢＭＲＢＩＣＶＪＵＴＮＶＯＱＤＱＷＴＬＷＨＴＱＯＴＣＪＵＯＴＥＦＧＷＧＪＮＩＥＥＤＧＲＶＹＯＵＵＣＥＦＢＮＶＲＪＡＢＭ" hidden="1">[9]RD9501V!#REF!</definedName>
    <definedName name="ＭＬＯＧＤＧＷＪＣＫＭＮＪＶＫＺＲＰＪＵＰＫＲＺＺＴＭＺＬＲＹＷＰＲＥＹＷＴＤＢＭＸＫＮＬＱＳＺＫＬＱＤＳＡＪＴＤＡＶＬＰＰＰＲＫＧＫＺＦＦＮＰＱＫＳＯＧＸＹＩＸＺＧＬＯＩＢＯＡＺＮＥＮＦＴＧＭＪＳＱＣＮＺＶＴＺＨＰＺＴＹＫＨＩＹＪＬＰＫＡＥＦＥＧＳＶＺＧＧＯＰＲＮＺＨＤＶＭＮＹＭＯＶＷＤＰＱＤＨＯＣＭＢＮＨＶＡＸＧＹＪＢＨＪＩＮＷＤＨＩＮＹＷＫＬＣＡＥＺＯＭＭＬＯＧＫＮＷＪＪＲＭＵＨＶＬＫＢＶＦＡＷＤＩＺＺＴＴＧＬＱＡＱＣＬＲＬＫＧＱＯＡＲＸＡＹＥＭＮＸＢＮＤＳＡＱＴＤＨＣＳＰＱＰＲＨＬＡＮＧＯＱＲＮＡ" hidden="1">#REF!</definedName>
    <definedName name="ｍｍ" hidden="1">#REF!</definedName>
    <definedName name="ＭＮＲＷＵＪＱＡＫＴＲＬＢＧＧＦＩＡＸＡＲＲＺＢＣＹＬＳＯＨＸＺＳＵＢＧＲＹＲＫＹＪＩＸＮＷＰＲＥＲＸＵＤＢＮＦＢＡＦＯＶＧＡＧＤＳＴＪＴＷＡＵＫＰＤＦＲＵＹＮＵＴＢＤＥＡＮＵＲＪＡＢＬＤＫＪＡＨＴＴＨＬＳＧＰＦＲＡＮＡＧＤＭＸＯＵＸＶＢＪＲＵＶＡＭＪＹＺＰＳＣＧＢＪＫＪＬＥＨＬＴＨＧＯＪＬＧＴＨＸＷＮＨＲＭＤＩＡＡＴＴＨＬＳＧＰＦＲＩＣＡＸＨＦＱＩＯＲＰＶＤＥＯＰＵＧＷＨＸＢＫＯＪＺＷＸＷＹＲＮＲＧＵＭＵＷＹＴＪＹＱＯＪＴＯＪＱＶＣＷＰＣＮＵＢＳＡＴＶＩＣＢＹＨＧＥＱＴＲＸＹＧＱＲＷＢＹＮＶＤＭＫＥＵＺ" hidden="1">#REF!</definedName>
    <definedName name="mono" hidden="1">#REF!</definedName>
    <definedName name="MQLAYYXASP" hidden="1">#REF!</definedName>
    <definedName name="MVTFWCFDJCNNSEUJRHKUYTJGGGIBXBQDPRTOBPFXVPZUQXCTTNFQWEUDJWQPMVUFQCFDWEOPUZWLTCMWTOTTTVOKODJJRTUQDKGZCMBDKPZGASDDRHQWJXCZIHSDPLJFMXRVHFGWGJNHNNNPBEIXDDLNOKXEEVWGVXECUANNBFLZJZLUFLIRJUMFDJSZDEIUSGHXBAUKIIHKCGJSQYTUQDRHICMIDKPGGAAOSYMWMYHNHFXVHZTRXFGQRWIYNVL" hidden="1">#N/A</definedName>
    <definedName name="MZTRJHTEQTRXYGCHMJYGPAJGCOQAORXDNUNHUFFTKSLNANUECNYLHFLTALFKWTIJZEIDTYYXZLOSZZHJKGSAWOFGRFHOMEJJWBHVGSBOBHDNEQHNQOUCKNEQNCFIRVQGEEDGYBFNBUPQMYNCBSMXSNUZRRKKYCBLBNWCWURAZKCILJOXXIJOIXFVYIMHWUUTWOLPDWEFHDPEWUPZUPWCTTMGTELSJRKMZDAKITERUSYZGRSXCZOWFPZWSWWWYRN" hidden="1">#N/A</definedName>
    <definedName name="MZZNRXLVLXGTGLIS" hidden="1">[42]②仙台!#REF!</definedName>
    <definedName name="NAFLZJZLUHUZWFXIAG" hidden="1">[42]②仙台!#REF!</definedName>
    <definedName name="NBCTDFJEUYZYAMPTIPOWYHTBXPGHSGIZQXJJXBIWFSBOCHENFQINQOOWZAFRODEUXHLGVTTSVCGOCBJEGBOCSRIRMHOTLLXLPVEUGPVPOLUSHMPOTCCNEQGVDTWGKFUSDFYUYNATBDEANBRJGBRNUZQQKDNTBRATVICBYHFRCORPVWEOZDBQXJTQLAFFEHZWZPVVDFGCOWWNOZNHNXEXRBAOFOHJWJOLVTEPCYWCKOHMYVKLBLOSNDHSUGJNCJI" hidden="1">[42]②仙台!#REF!</definedName>
    <definedName name="NEFPRYWOVHHVZGUDTFOBOURARDVVTZHOSTYSMAPOFAKFAHNPJJXBHVFVHQWQOLVTEWCUAJJUVZLCRYPSBGCZAZBUQUJXPXZBWJXKICMHDKPRLESDJQHQJLKIFPKVHKIOPXHINUJRAKURMBGGFIIMBHHJKGMIARSCRTAFQWQJNMBRATVIVBYHFRCOKIOWEPYKIWXOYAEZPTUTZCGVCVWYUGOKCTUFTVFXDQQEIOCMCOXKXCZJAMUXVBJRVVAMJYZ" hidden="1">#REF!</definedName>
    <definedName name="NEOQVPFKKXIMPELLTUWSEMIARSDRTAIOBBPTZNXNZIVINKULXOUXVVGZCGOBBPRNZODCTNXTNSKKDCGNBLAMVBVURAZKMPNTCCNOSEVJRHLUYTJGHGIJMCPIQSTPBQFXVPAVQXCUFYMXDKVOQDXWTCAMXJMKQRZJKPULTCMEZPTUTVOKODKJLMIVCZRIJTHKQWZSLZKKYOXQSFSYVECOQMKQYGWBMKYISUYTJZYBMQTIPOWYAWIRJABLACJHQDD" hidden="1">#REF!</definedName>
    <definedName name="nhj" hidden="1">[43]SBプラ鉢!#REF!</definedName>
    <definedName name="nn" hidden="1">[10]RD9501V!#REF!</definedName>
    <definedName name="NNBFMAJZLUAEBKJXDGEKSTDEJVLAJMWAVLIJIKDZDRKSTVRDTLJDUPWBTSMFTEKRIRKMZTSJITEQTRXZGRRWBZNVAKHCRWWVYQNQGXFHIERYVNEFPRYDNUOHUGFTKTLOAOTLJVGSOMSAEYCOMABSCEIDTXYXZLOTZZHJKGSAWOFGRFHOMEJJXBHVFVHQDQVNEQINQOUCKOOTFCRSILVFVTTSVNQUCQPXSUQCRGFCMHCJPGGZZNRYMWLXGMQNWVG" hidden="1">#N/A</definedName>
    <definedName name="NNHHVPDNDPYEYXUDBNEKNLRZAWBNDSAFOSNDBBADVSWJCKMUHVLDBVFAOTLKIWHOVLUBOIGDMLWHUXMNVFGLQNCKTDNKFVLKMFBFUBAIKMHNKCTUESVBHRYRLYJJXOWPRDIFONYJWBHQXIBGSPEFVFIMHXNMPASIOOWYZTAWPFHRFHONELYYLPWKUJVEQVSCTFWCOUCKOOTFCDUXGKFEFEGZCGOCBJEGBOCCTNYTOVASRLLZDJXHXJJDCZIHSKP" hidden="1">#N/A</definedName>
    <definedName name="NUFGKPNCJTDMKGKKKMFBFUAAIKLHUBXPMXLNUZKRKDRCCQGPIIWBYXJUGCAGOWMQCAOPGQSWRRRQTEILSSACDZLIARSCQTZAHUUIMSGQXFSGLIRJUMSUTYHEEJVSHIYBLPKAXXXZNQZMMUBXKYONDYIDZFHHAAOSZNWMYHNHGDMLWOTGLUUFGLWNCKADNRTRRQTLIHVNVXZUHVLDBVFAWDIZYREQWDUDVYKFMVTFQCFBCKUVAFCRZISCZUZAZBU" hidden="1">[7]RD9501V!#REF!</definedName>
    <definedName name="NVQRNZODCTNYTOVAS" hidden="1">[42]①器具製作実績グラフ!#REF!</definedName>
    <definedName name="OCBJEGBOCSRICMHDXOOIIWAGUFRAGAZWFDPHMPNTBCNNSEUCTWFJEUSSRUMJMBPHDEAMBQIGARMTZBVOCNTARATVNMJSNYKNLRTALMQVTHPZJSPKAQPSKHKAGGOQRNZHDVMNYMCHSYSLZKJXOXQSFSYVECOZLQWFMXRVHFGWGJNIXCCBEPTWMSSAOKXEBTKLVJMSRIPCCPLZJZLUGUIRIUMRUSYGORSXJGVWMPZJZXXKCGJSFFNIJFRGVULFWSZ" hidden="1">#N/A</definedName>
    <definedName name="ODEUEHLGWAAZCORVKQQYABX" hidden="1">#N/A</definedName>
    <definedName name="ＯＤＥＵＸＪＥＵＲＲＲＴＭＰＴＢＯＯＷＲＳＯＢＰＥＤＡＫＦＢＩＮＥＥＪＸＢＨＶＦＶＨＱＷＱＰＭＶＴＦＷＣＦＵＤＤＯＯＴＦＷＫＳＩＭＶＺＵＫＨＩＨＪＸＡＰＤＷＥＦＨＤＰＥＴＬＰＺＵＰＷＣＴＴＭＧＴＥＤＵＤＶＹＫＦＤＡＪＩＴＥＱＴＳＸＺＧＲＳＸＢＺＨＲＢＫＩＱＶＶＵＸＸＢＱＷＷＥＧＨＤＱＸＵＯＰＺＯＱＸＣＮＴＮＧＵＦＥＳＪＷＹＬＹＥＢＫＩＵＦＲＮＬＲＺＨＳＬＱＣＺＯＰＯＱＵＰＦＶＵＸＩＭＰＦＬＬＧＨＤＱＸＸＯＰＺＯＲＰＨＮＡＡＯＫＹＨＸＪＳＥＪＧＰＨＳＫＰＳＱＷＦＭＱＲＶＨＦＧＷＺＪＮＩＸＶＴＶＯＲＶＤＱＱＹ" hidden="1">[9]RD9501V!#REF!</definedName>
    <definedName name="ODSRICMIDKPGGAAXDRBQCLRMKHQPASXAYECNOTDSAQTDHBRPPORJGJZMFNPQMBTPKRWNNHAOZFMDMFHCBYHGRCORPVXEPQUZXLKVEBWMQRQSLHLAHGOQRNAHEBCNBDKPPJCPAAOFNGIVIOLUTEPBXVBGQKPBYNOEORVQGKKJMYNCIIQSTPCJFYOQAOQXWNUWJNUISBKXKQNWOZRWZXDMTXYCOMABJTXSIFGFILPXLKCDZLAPOHSNIPUMMFFTXDS" hidden="1">[42]②仙台!#REF!</definedName>
    <definedName name="OEIRVQGDEDFYBFNBAOQMYNCBSMDYFKCCVVJNTHRHTCNMJSRCUZCAGPPABFRIQGJTXSHFQSLHLANGOQRNAOEWUOFAHMEDXQBHOFOHJWQOLUTEPCEDIKROTYVDNXGDYOTTSUNJNCJIQSUNVRJABLNUAKRKCONBSBTWIWBYHGRAWUAIQBUZLIXYOYBFAQUUUWWAPWVDFHCPXWNOZJQOGMZZNRXLVLRERXUDVGYDGEKTPQVHETUKNXBVLJUWPSWERRZ" hidden="1">#N/A</definedName>
    <definedName name="OHJWQPMVPAMPNTUCMNIGUCMWFCXNRSRTMIMBIHPRANURJABLZCIOYFYSFQQEPIKXKPMWUFQDZXDLSDXCOLMCMFZPUUTWHLODKJSTVRDLHZQRBDKIAGTTHLRBQCLYCZJAMDJMKQYVVAMJYBENRMCAAZCUXBJXWEZIVJZYPJTOKRWNNHHUZFTDSFFZYVECOFLODMMXYCOFTBSVEOECCBEWTWMZSACDWLASQLVQLSXPPIBPAHOENTGAZWFEPAMPNTV" hidden="1">[42]②仙台!#REF!</definedName>
    <definedName name="OJQWNNGANXEVDWYLFEBUFQDGEJLSDEJOLAHRBLICSBQSZEPVPIWHGULUTGTZWFDPFBZFNVFZEYNOEWAVKPPORCGRXXFHIERYUNDFPDYWNUHHUJXHXJSFSYVEVHZEHFMTXXCOLABRUEIDTQRQSLOFSSAVWSETIHYSDYTYPPIJWAHVFUGPVPOGEQINQOUCSTXJAPFISWRGEEDGYVZOBUCEFBNDVTNXSOVARRLERNULUNPCWVSBZOADBHIQBBGLIXF" hidden="1">[42]②仙台!#REF!</definedName>
    <definedName name="OK" hidden="1">#REF!</definedName>
    <definedName name="ORPUWDOPUZWLSCMWTNDIIHK" hidden="1">[42]①器具製作実績グラフ!#REF!</definedName>
    <definedName name="OVRKACMACJPZGZTGRRFWEXZLQNWVGRDZYDMTEYDXMNDNQUPEJJILWADTZZUQGSBOBHENEQINQOUCKNOTODEUSWRHEEEGZRZNMVPRNZODCTNXTOVADWWKOVJSIUDJDCZIHSADBHQQBSDUJRHKUYSIGGFIIMBOHPRSOBPEXUPZUPWCTTMFQWDUDWYLFDATFQCFDJKSDDINKZHMWTOEUTVOKODKJRTUQDKHZQRBDKPAGATHSRFWFYANAGCMKSEAYEN" hidden="1">#N/A</definedName>
    <definedName name="OWYAV" hidden="1">[42]①器具製作実績グラフ!#REF!</definedName>
    <definedName name="OZUPWBTSMMAEKYIYKTZAXGFQINQOUDDOPTFWKSAKOJYWWWYRNRGTMEGYWQBZGLDDWPDOVCSJLYSVFDOZMPNSUBMNSXUFPZIFAQVVUWPLPTSBCEAMUXOPZOQKVBVOCBPGOHJWKPMVUFQCYXCLLFKWTIJZJMQKAFFEHSWZKJRTVQDKHZQRBPSZXOVIIVOCMBOWLROXOASXAYEMGHLXVJKBENRMOOOQJMQYLLTOPGUKIZUEZVBHYYRSFAOYNZIOIHE" hidden="1">#N/A</definedName>
    <definedName name="PBECIJRCMRODLUEOLGMMLNGCGVCBJLNIVDZACBPGPIKXKPMVUFQDZXQXICHSQRHRUYTJNEHSWZHHPQSOAIEWNOZNPZRXKJNUIRHTCPCIFOFRJORPVDHHMYVKLBEDYOMMLOOSANNVQRNAOEDUOFAHMDDXXLPVJTJWCWURBZKTWUAIJUUZLBQYORBFAQSRUMJNCPIQSTPBQFXVQACJOGGZSGRXEVPREYWTDBJVYWCELWWBGESAYIFAQUVUWPLPEKK" hidden="1">[9]RD9501V!#REF!</definedName>
    <definedName name="PBEIXDDLNOLTPHYZKYAHGXEQQEILVKWFSFLFSTJMWAVXXWYRUYGUTBGCODSRICNIDKPHPPCHNBJVEKROXWHZFOUCDNOTFVKSILVZUJHHGJBQFTLTVXTCRJHBLHCJOFFZSGRXJSLNAUTQGRCORKLTEEJOIQZJTQLBFGFHLPELKSUZMTQIZAKYBINXEYREQPJRKMZMSGFQBNJHNWDOIMYWKLCMOSNDWVYKNRGMMUWXTFNJBSUESUIZGSSGKRFOEQZ" hidden="1">[42]②仙台!#REF!</definedName>
    <definedName name="PCCQUAKAMVIVAXHYJBHKIAIMMRDAPQGJTXSIFGFHADHVUDXZVHWVMHRMHOULLEESWDRAQPVPOLUTEWBECIRRCDHTKZPSCGAQOONQIFIYLEMOPLXMFDXHCYFKBBVOBNTARZSUHBASQBMZCASALLQVSHPYISPKAEEEGAETZZHJKGTAWOFJXAHMWDXQDZOENGIVIOLXITFBZFOVGAEQUVMWYJYDDCFQUYNTTBDLYFCULMWKNUSJQDDQVBPZMVIVBYH" hidden="1">#N/A</definedName>
    <definedName name="PDNCOXHGDMKWOTWMUVFGLXUCSVFJEURRRTMIMTMUVXXMBTRLWRMTYQQJCQBHPFOUHBAXGFQBVTYAHSTYDAPXGQAXRHMMLOVZOUUCEFBNVRJACMACJEKEXHHVLUNPCPVSBZLWIECIQBVAMJYZPZCGBQVZBNQUJQPXZAWJQNFPAOQXVNTGFJQEOUDQDIFOGBHKIOWDHINZWLMCFPSIFGFHADHPCCKFGCPDTUOZUPULLEESWDRVHQWQPMVTFXCFDJK" hidden="1">[42]②仙台!#REF!</definedName>
    <definedName name="PEWUOZUPWBTTMFTEKSIRYKFDAJITEQTRXZGRSWBZAKUDAVLQQPRKGKZGFNCBPRYEOVOIVGFWFYAFKHQPALYUSXGNYSXIGVWMWZJZDDDFRUYNTTBDEANUQRSDRTAYQWJJXBHVFVHQDQWNFQINQOUDKOPTHWXNRAEZPMNMSWZHVVQRNZODCTOYAHMDDXXKPVJTIIOIHENMXPUXVBKKVWAMDRZEOSNCAAZCUMBPIQRTPBQIGALGBINFDWKVULTMOBV" hidden="1">#REF!</definedName>
    <definedName name="PFKKJMEBE" hidden="1">#N/A</definedName>
    <definedName name="PFPSWRGLLKNYCFVBB" hidden="1">[42]①器具製作実績グラフ!#REF!</definedName>
    <definedName name="PGSJPSQWEMPQVHETUKNLFVTTSVNRUCBJEFBOCSQHCMHDJRRLLYDJXHXJSYSQNWVGYEHFFFQRVHYMULOXBWMVUXPMPFSLTVWSETIAYSDYTAIIBVITAJSLNAUTPZXJTGJHNOWGXCZOWFPZWRHLMLRNRGYGIJFRZVNEFQEGNSDJDVHGULTMOBPURAZKVHDTBJTNSEBQRHRUEUZZYBMQTIPPXYATBXPGISGBZQXKKXCIRHTCPCIFOFRJORPVDLPPUPD" hidden="1">[42]②仙台!#REF!</definedName>
    <definedName name="PLGNSJJ" hidden="1">#N/A</definedName>
    <definedName name="PMEVWGUXECTANNAFLZ" hidden="1">[42]②仙台!#REF!</definedName>
    <definedName name="ＰＭＮＭＯＨＤＨＷＫＣＫＭＯＪＳＨＺＸＲＢＸＳＺＥＶＶＰＩＷＨＮＵＬＹＡＮＨＧＤＭＨＳＥＨＦＬＮＵＦＧＫＰＮＨＲＢＬＩＣＳＸＸＷＺＲＯＲＧＮＮＩＪＦＳＺＶＮＥＧＰＳＺＥＧＡＴＨＳＲＦＷＦＹＬＹＥＢＫＪＵＦＲＮＬＲＡＨＳＭＱＣＡＢＲＢＥＩＣＳＸＸＷＺＫＯＲＧＮＮＩＫＧＳＡＷＯＦＧＱＳＺＹＰＷＩＩＷＡＨＶＦＵＧＰＣＰＶＳＢＴＵＺＣＡＧＰＥＦＫＷＴＩＪＺＣＭＤＴＱＲＱＳＬＯＳＡＮＮＶＱＲＮＡＯＥＦＺＪＦＡＨＭＥＤＸＸＬＰＶＪＴＪＶＥＫＥＤＡＺＫＣＣＡＧＰＰＡＲＤＴＩＱＧＪＴＸＳＫＫＪＭＥＢＦＵＨＡＩＫＬＨＴＤＶ" hidden="1">#REF!</definedName>
    <definedName name="PPJCPBHOFNGIVQOLUTEPBOUVDNOTYVKSBLVSNCHHGNJNCJIEIKXKQNWVGRDZXDEPJNZXLMDNPTOEJJIKLOEKKSUVRDLHZQRBELJAHUUHMSGQFSANBGDMEPYBZFNVYZEQNCDTWGKFUSSRUCFOBBJEFBNCBSNXSOUARRKKOUISIOUONKTRDVADBHPQBBGSIXHKTXSIGGFIAXAPDVDSOAPEWUOZUHNEEXRBHOFOHJWQOLVQBNQOUVZAFKHWENXHEZO" hidden="1">#N/A</definedName>
    <definedName name="PPORIMBOHPRSOBPFXVPZUQXCTTRFQWDUDWYLFEEWDOPUZWLTCMWTNDIIHKGJYFFNOQMYGCUGQFHOTEKEXLWVJAJCEREJGQCNAWUAIPAUZLIXISVZTJOONQBFIXEDMNPLXFWNOYMPWULSFFTXDRBRDMZMZJAMDJMKQYDEJVKLBEOSMCALNGJNVIIQLMIVJYXOJIELQHHBBWCQAPBKQKAJITLQTRXGGRSWIZNOSBFAQZYBTQTIWPXYPCQGYWDYUAG" hidden="1">#N/A</definedName>
    <definedName name="pppp" hidden="1">{"全社（月度）",#N/A,TRUE,"印刷シート";"全社（下期）",#N/A,TRUE,"印刷シート";"全社（累計）",#N/A,TRUE,"印刷シート";"北海道（月度）",#N/A,TRUE,"印刷シート";"北海道（下期）",#N/A,TRUE,"印刷シート";"北海道（累計）",#N/A,TRUE,"印刷シート";"東北（月度）",#N/A,TRUE,"印刷シート";"東北（下期）",#N/A,TRUE,"印刷シート";"東北（累計）",#N/A,TRUE,"印刷シート";"本社（月度）",#N/A,TRUE,"印刷シート本社";"本社（下期）",#N/A,TRUE,"印刷シート本社";"本社（累計）",#N/A,TRUE,"印刷シート本社"}</definedName>
    <definedName name="ＰＱＧＪＩＤＴＱＱＱＳＬＯＳＡＮＮＶＱＲＮＡＯＤＣＴＷＲＮＵＺＱＱＫＫＸＣＩＷＧＷＩＩＣＢＹＨＦＲＪＯＲＰＶＤＥＯＰＵＧＷＥＵＹＨＬＧＷＴＵＴＶＯＫＯＤＲＤＦＧＣＯＤＳＫＩＣＮＩＤＫＰＨＺＳＧＲＸＥＶＥＸＺＭＧＦＢＬＪＶＦＳＶＫＭＴＥＥＺＸＬＴＤＮＷＵＰＵＵＴＷＯＬＣＪＩＱＳＴＰＣＪＧＹＰＱＡＯＲＹＺＦＺＳＧＲＱＥＶＥＸＸＫＱＮＷＵＧＲＤＺＯＸＥＰＪＹＶＫＬＢＬＯＹＯＴＴＳＶＧＫＮＤＪＪＲＴＢＯＶＳＫＡＣＭＡＤＪＩＺＧＴＴＧＫＲＦＱＣＬＹＬＱＮＷＯＺＲＸＡＹＥＭＴＸＹＤＰＭＡＱＴＤＨＤＢＢＡＣＫＮＷＪＣＸ" hidden="1">#REF!</definedName>
    <definedName name="PQVGESTKNWBVL" hidden="1">[42]②仙台!#REF!</definedName>
    <definedName name="ＰＳＨＯＯＷＸＺＶＨＤＶＭＯＹＭＯＶＵＪＷＷＫＯＴＤＴＦＯＢＯＵＲＡＲＤＶＡＤＢＨＰＸＵＹＫＨＷＸＮＲＡＥＺＰＭＮＭＯＨＫＯＷＫＪＲＳＯＡＰＥＤＵＯＺＵＰＷＢＴＴＭＭＡＪＸＨＷＩＲＸＲＱＮＷＶＧＹＤＧＥＫＴＴＱＶＧＸＭＴＫＮＷＢＶＬＪＪＩＬＤＡＤＳＫＴＵＷＳＥＴＩＡＹＳＣＹＴＡＦＩＢＵＩＴＡＨＸＧＺＢＯＦＣＬＫＶＥＨＦＬＭＵＥＦＫＸＭＵＤＮＧＡＱＶＶＶＮＫＮＤＪＪＲＦＢＯＶＳＫＢＣＭＡＤＫＰＺＧＡＴＧＳＲＨＱＪＬＹＬＱＮＸＶＧＲＥＡＱＹＦＱＮＺＷＬＭＣＭＰＴＯＥＩＩＩＫＷＺＤＳＹＹＧＩＱＤＬＨＺＱＲＢＱＳ" hidden="1">#REF!</definedName>
    <definedName name="PTODBBADVSWLYRZBCYKZOWQBWRYDVVOHVGNUKTMOGFCLKVXAYEGNYZDRGOXHROJZDEDFYQFLLTVWSEMIARTDRTAFQXQJUTHYHACPCHERCNZWUZIPAUZKIXXOMQKAFFEHSWZPVVDFUGOKCTUEGNMPBBPTAOXNZIVIOLUMXPUXVVCGHLXVJKBENRMCSRUMQTCPPXSTPBQFEVPAVQXFFZZMRXLVKWFLFEBOZRWZXDMMXYCQFNDGQUOECCBEWTWMZSA" hidden="1">#REF!</definedName>
    <definedName name="PXGQAXSHMMLOGDHWCCKFBNVRJABMACJOZGZSGRQHPIKXLQNWLWIECIRYJDHTRFGWHJUKOOIUXBQHPRTOBJFXOPZOQXVYLLYDJSIUDQDIFPGRJPSQWELINYWKLCFOTNDBBADVZCKYXMNJWKAYPKUPLRTTMMAELZJVEKFDAJITLQTRXGGRSBRGOEHRVPFDDCFXUYLEMOPDRHZWRBWSZEVVPIVGNWFYANHFCMKVGTWUZBITUZTHPZEBWLQQPSKHKAL" hidden="1">#REF!</definedName>
    <definedName name="ＱＡＫＴＱＬＢＦＧＦＲＯＳＨＮＮＶＸＹＵＧＯＫＣＴＵＦＴＶＣＤＫＥＸＫＷＢＳＢＵＷＪＷＢＹＨＧＲＣＰＬＪＰＸＵＮＳＥＢＱＲＨＲＵＹＴＭＭＭＯＡＤＨＷＣＣＸＺＵＨＰＬＤＵＶＦＵＷＤＢＳＺＭＭＡＥＫＴＪＶＥＲＥＫＨＱＨＴＬＱＴＲＸＦＮＲＲＷＸＭＮＤＨＱＵＰＦＣＤＣＥＸＡＥＭＺＺＨＣＤＺＳＨＧＸＲＣＸＳＺＥＷＷＰＰＤＨＮＢＭＹＨＮＨＧＤＭＬＷＯＴＷＵＢＢＭＮＲＤＵＪＱＨＫＴＹＭＫＫＫＭＦＤＳＧＹＵＶＲＥＳＩＡＹＳＣＸＴＡＦＷＷＱＩＴＺＧＸＧＺＢＯＩＨＹＷＩＴＦＩＧＭＴＥＦＪＯＭＵＤＮＸＵＰＥＪＪＩＬＤＡＥＴＺＺ" hidden="1">[7]RD9501V!#REF!</definedName>
    <definedName name="QAWRVMMGFJPDNDPYEYYHGRJORPVEEPQSIXFVYIZOMMLOGDHWJCKYUHVLDBVFAWDIZZTMZLRYDWYLPMVTFQCFDJKVVAFCRZISCZUKAZBUQUJQPXZBWJRNFCMADKPZGATGSQHQJLYLQNXVGVRQVELWGSPEFKNRMBGGFIUXBQWWEGHDPXXOPAOQXVNTGGUYEUKWFSFKHRIULRUSYGNRSXJGHXBTOEBCBDWZDLYYGBKWLAZQKUQLSXOAANSYMWLXGMG" hidden="1">#REF!</definedName>
    <definedName name="QBIPGOHJWQPMVUF" hidden="1">#REF!</definedName>
    <definedName name="ＱＦＤＤＣＦＸＵＹＮＡＴＢＤＥＣＱＦＹＶＱＫＦＭＲＪＩＣＶＪＵＷＮＶＯＱＤＸＷＴＣＢＭＸＪＭＫＱＢＭＭＲＷＴＩＱＺＪＴＱＬＢＦＦＷＯＬＯＤＹＧＩＪＦＳＺＷＯＦＧＴＶＣＨＳＺＳＬＺＫＫＹＯＸＱＨＵＺＷＦＥＰＡＸＶＢＫＲＬＰＢＺＤＴＤＧＫＦＶＺＺＺＢＮＱＵＲＲＺＡＣＹＫＳＯＭＮＸＬＯＶＴＧＳＳＧＫＱＦＯＥＱＺＭＺＦＣＲＣＵＡＤＢＧＰＷＡＢＧＲＰＧＷＡＪＮＩＹＶＷＶＸＱＴＸＦＴＳＡＶＨＴＩＸＷＮＨＳＮＩＰＵＭＭＦＩＭＳＧＱＧＳＢＦＥＢＫＩＵＬＲＵＳＹＧＨＲＹＫＢＱＸＯＲＡＥＺＰＮＮＭＰＨＥＨＷＫＣＬＣＹＬＺＰＨ" hidden="1">#REF!</definedName>
    <definedName name="QGISGIPOFMZZMQXLVKWFSFLBTEWBECIRYCCHTQRILUZTJHHGJQUCQPXSUPCQGFWQAVRYDUZZNRXLWIRXRQNWVGYDGEKTTEVHXMUYIMHXUUUWWAPDVDFHCPDTLJDNIELQSMFTEKRCVXKEDAJITCFDIDOPTYWKSCMVTOTTSVNKODJJRTUQCKGYPMADKLRLEOOCTBUWINKTSDOAWUAJQBLXUJKAKNRMBGGFITXAIHPRSOBIFXOPZNQXVERRFJPZOAJ" hidden="1">#N/A</definedName>
    <definedName name="QHITHJQOGJJXBHVFVHQDQVSBTINQOUCKOOTFCRSILVZVTTSVNRUCQPXGBOCSRICMHDKPGGAANJXHXJSYCZIHSKPSIQRBCHTJRHKUYTJGGGMIMBPHPRSOBQIGALGBIQQKDQBIPGOHJWQXHFQBORBDKVWBFDSZJTCAUKAACVRVKQQYABXJRNFWYIWYFGNHANZYMDMEHTHMJCOZLHFLTBMFKFTULVXBWMQRQSEHLAHGOQSLTPHYZJYAHFXDQQEIOXN" hidden="1">#N/A</definedName>
    <definedName name="QOALXAYEFNYNSPEMVFPMHWBBADVSTZZHJKGSAWOFGRFHISZTMALKYGZBOBGDNLWHUQOUCJUOTFCRXHJNIYDKNYCFUBAJKMIUCYQHISHJQOBOOCGMAKAMVIVAXHYKBSQWEEFKVTIJZCMQKAYYIAEHQDDLGHDPETSJDOJELQIQQDIOCMBNLFDAJIAFIGMUVGGLXNCKADNRMCIHJCYCRFXFHJERJBZUEZUBHYYRLYJFWFYANHFCMKVHKIOQXIJNSNU" hidden="1">#N/A</definedName>
    <definedName name="ＱＯＵＤＫＯＰＴＦＤＲＳＪＭＶＺＵＫＨＩＴＭＰＴＢＺＨＣＥＡＭＢＱＰＧＡＫＧＢＬＤＤＷＷＺＧＵＥＴＦＯＵＯＮＫＴＳＤＭＰＮＳＢＢＭＮＳＧＶＣＴＥＩＤＳＱＱＱＳＬＷＬＺＲＺＢＤＹＬＺＰＨＦＺＪＥＡＨＭＯＩＢＰＡＧＮＥＮＧＩＶＰＯＬＵＳＥＭＰＮＴＶＣＮＱＶＴＩＰＺＪＳＱＫＡＦＦＥＨＨＬＡＧＧＯＱＲＮＺＨＤＶＭＮＹＭＯＶＡＬＳＬＤＰＯＣＴＢＵＷＪＸＣＺＳＥＯＢＸＶＢＪＲＢＶＡＭＪＹＺＰＡＥＺＰＴＵＨＴＷＡＰＶＶＤＦＧＣＩＥＷＮＯＹＮＨＦＸＥＱＱＥＩＰＬＡＭＶＩＶＢＹＨＺＫＣＨＫＩＯＸＥＩＪＮＺＸＹＯＲＢＦＺＰＮ" hidden="1">#REF!</definedName>
    <definedName name="QPMVUFQCFDJLIINSPXHRAXSINNMOHDHWDCKFBOVSKACMADJPZGZTGCQHQJLYLQNWVGREAYEYJDIURGHXHKOIYDDCCFJYEEGHDQFXOPZOQXVNTGGUYESCSSFSXUEVHYEHFLTARVHETUKOXBWMJKJWZDLYYGBCYLZPOEZPLSXOOIIVAGUYKTZTSPYXIAFIGMVVGHLXOWMPZDYNDCFXUXNATBDEAMBQIGASNUZVPIWHNULUNNHGDMKWHTMSTBLMRWT" hidden="1">[9]RD9501V!#REF!</definedName>
    <definedName name="QTLOSAONVQSOAPEDUOYUPWEEXXLPVJTJVEKEDAJHTVYWCKLWWBNDSAQTDHCSBACVRVKYQYUQCRJHCMHCJPGGZTGRKAJCERLKHQOALXAYEFNYYDIGNXHQOIYDDCFXUXMKSUWPXTLCDNCELQBHBUITSGXEGTGLISQBMZVTZHOZJVSHIYILPKAEFEGSVZOUUWXTGNJBSUESUBARYKLYVJSIUDQOLULXPUXVBJRUVAMJKAENRMCZAZBUXBJXWETOBPF" hidden="1">#REF!</definedName>
    <definedName name="QVHETUKOXBWMJKJLEHLTG" hidden="1">#REF!</definedName>
    <definedName name="ＱＶＮＮＧＧＵＹＥＳＣＳＥＮＴＮＭＪＳＱＣＵＺＰＵＤＤＯＰＵＦＷＬＳＪＭＶＪＺＷＸＷＹＲＮＲＧＴＪＬＭＩＵＪＹＱＯＩＴＯＪＱＶＮＩＢＰＡＧＳＢＵＷＪＤＣＺＩＨＳＤＰＳＬＭＵＥＦＫＰＭＢＨＲＡＸＳＩＭＮＭＯＨＤＨＷＤＣＫＭＯＪＷＣＵＬＭＷＬＮＵＺＫＱＳＦＲＱＥＶＤＷＹＬＹＥＢＸＪＵＧＣＡＧＯＷＧＡＦＲＯＤＥＵＥＨＬＧＰＰＯＲＣＧＪＧＧＯＱＲＮＡＨＥＷＮＯＹＭＰＷＵＬＳＦＦＬＲＧＰＦＲＡＮＡＲＡＳＤＶＢＥＣＨＱＸＢＣＨＳＱＦＦＷＺＪＮＨＪＫＪＬＥＨＬＴＧＧＯＪＫＧＴＨＸＷＮＴＯＪＱＶＮＮＧＧＵＹＥＴＣＳＥＮＴ" hidden="1">#REF!</definedName>
    <definedName name="qw" hidden="1">#REF!</definedName>
    <definedName name="ＲＡＥＺＰＭＮＭＯＨＤＨＷＫＣＫＭＯＪＪＹＱＯＩＴＯＪＱＶＮＭＧＺＮＱＸＯＷＰＲＥＹＸＵＤＣＮＹＫＮＬＲＴＷＸＣＧＥＴＡＫＵＤＢＶＬＱＱＰＳＫＷＬＲＲＺＢＣＹＫＳＯＧＸＺＪＸＺＧＬＷＤＷＰＮＭＡＲＺＳＵＨＭＩＳＱＣＭＺＶＴＺＨＰＺＴＶＳＨＩＹＩＬＰＫＡＥＦＥＧＳＶＺＯＵＵＣＲＮＡＨＥＷＮＷＬＮＵＳＫＱＤＤＲＮＢＫＡＭＶＩＶＢＹＨＹＫＣＨＫＩＯＷＥＩＩＮＩＷＸＯＲＡＥＺＰＹＸＡＳＷＺＩＶＶＤＹＺＶＨＷＬＫＢＶＧＢＷＤＹＹＳＳＦＪＱＺＰＢＫＱＫＩＦＰＮＹＱＷＺＸＣＬＬＷＮＺＰＥＭＣＦＰＴＯＥＢＢＢＨＤＨＷＫＪ" hidden="1">#REF!</definedName>
    <definedName name="RBIBVITTHYGZBOBPZXITGCAGOVGAFRODEHKOIYDDCFQRQNFWXHVYFDUBOOBGMAKAMCPVSBSEWBECIQYBSEBQRHLUYTJGHGIBEIQEDLGGTHXWNHRMIPFFZZMQXGVIQXRPMVUFXDFEJSSDEXOCKBELGWUUTVOKODRJRTVQDRHZXRZVCHYYSLYKQIQJLYSROXWHSOMSUBMMRWUTCMWTOEIIIKDZDSSACDZMTQIZAKYBHNXEXREPOFOHJWJOLUTEPCY" hidden="1">#N/A</definedName>
    <definedName name="RLPBZNOFPR" hidden="1">[42]②仙台!#REF!</definedName>
    <definedName name="rp" hidden="1">#REF!</definedName>
    <definedName name="rytf" hidden="1">#REF!</definedName>
    <definedName name="rytu" hidden="1">#REF!</definedName>
    <definedName name="SAPBEXdnldView" hidden="1">"6VJBV8MA63D90WOHXHEU9V57V"</definedName>
    <definedName name="SAPBEXhrIndnt" hidden="1">"Wide"</definedName>
    <definedName name="SAPBEXrevision" hidden="1">1</definedName>
    <definedName name="SAPBEXsysID" hidden="1">"BWP"</definedName>
    <definedName name="SAPBEXwbID" hidden="1">"43QNMDFRBEL9LHB2YR5OFYOSQ"</definedName>
    <definedName name="SAPsysID" hidden="1">"708C5W7SBKP804JT78WJ0JNKI"</definedName>
    <definedName name="SAPwbID" hidden="1">"ARS"</definedName>
    <definedName name="sd" hidden="1">#REF!</definedName>
    <definedName name="sdrtud" hidden="1">[10]RD9501V!#REF!</definedName>
    <definedName name="sdtfs" hidden="1">[10]RD9501V!#REF!</definedName>
    <definedName name="SEBQRHRUYTJNNNP" hidden="1">[42]②仙台!#REF!</definedName>
    <definedName name="sencount" hidden="1">1</definedName>
    <definedName name="SGHXIKOJZDED" hidden="1">#REF!</definedName>
    <definedName name="SOSHONVXGSAWOFGRFHOTEKEXLWVJUNPCPVSBALWIECIRYJDHTRSISVZVZZYBBFUBAIKLHUBYSTESUBZRYKKYCIXGTCPCIFOGRJORPVEABGSPEFKTXSIGGFIAEHPOWRSOAPEDUPZBINEEYYLQWKUKWFLFMVTFXCFDJRSCDFVKSILVZUKHIHJCYCQIQSUNCRJHBMHCJRRLERDJQHQILXSQNWVGRSQWXFPQVAXMUDNXUPEJJILMPFLLTVDQXTMCEOC" hidden="1">#N/A</definedName>
    <definedName name="SPQPRKGKZMFNPQMZNDVFPKFMRJOHUGMTKSLNAYXAYEFNXYDIFUCLVFCXMJJLEAETZZHJKEMIARSCRTAFBVOBNMARASVGMJSQCNZVTZHPAQCZOPFPSWRGLLKNZCGMMUWXTSOGXZJXZGHOBBPTZNXNZMAFCLDOGLOMSBIMNRDBPQWFJEURSRTMPTBPOWRTGUKJAULGNSJVVJNTHRHTCNMJSQCUZCAGOPAAFRHWEUXQKAYYXASPSIVOWYZVHXPMHRM" hidden="1">#REF!</definedName>
    <definedName name="ｓｑ" hidden="1">{"'Sheet1'!$A$1:$E$128"}</definedName>
    <definedName name="STEEJVLAIYBLPKAXYXZ" hidden="1">[42]②仙台!#REF!</definedName>
    <definedName name="STSUNQUEEMHIERFUTKFPKFMSJJCCQUXHXJSYSQNXVNPLPESKSUWRESIAYSMIPULLFYLXDKBJCETSPYXITFIGMOVVAFCRZISCZUKOWYRNRGMMUWXTGNJCSUESUBHNGZNYXMTMOBOURAYKVHDBHMXQVHETUKUXBWMQRAMPTIPOWYZVEASJDRUAZQXKKQWKUKWFSFLIRIUMRUSYGZAFRODEUXHLGVTTSVNRRFEMHJFRGVULFPOVASSLLZDJXHXJSYS" hidden="1">#N/A</definedName>
    <definedName name="ＳＸＪＧＶＷＭＷＺＤＹＮＳＳＲＵＬＰＥＫＫＳＵＶＳＡＷＯＦＧＱＷＤＢＳＺＭＭＺＥＫＹＩＸＪＳＦＳＹＶＫＷＯＴＷＵＡＩＱＵＵＺＬＩＸＹＯＲＢＦＡＱＰＯＲＪＦＮＡＡＩＤＥＡＮＢＲＱＰＡＶＱＸＣＵＵＮＮＢＦＬＺＪＺＪＰＪＨＥＮＭＸＰＶＹＷＢＫＫＶＣＯＦＴＢＲＶＥＩＤＴＱＲＱＳＬＨＬＡＮＧＯＱＣＰＤＴＬＪＤＮＩＥＬＱＨＨＢＵＨＯＶＭＵＮＰＣＷＶＳＢＡＫＸＡＹＥＯＺＡＥＪＨＶＤＮＸＧＤＹＨＨＨＪＣＹＣＲＸＸＦＨＩＥＲＹＢＳＴＤＳＱＶＦＭＧＺＭＹＸＬＣＫＨＵＨＮＨＧＲＣＰＬＪＭＵＥＹＤＰＭＢＣＳＣＦＪＥＴＹＭＯＡＤＨ" hidden="1">[9]RD9501V!#REF!</definedName>
    <definedName name="SYGORSXJGVWMPZDYOLLLNG" hidden="1">[42]②仙台!#REF!</definedName>
    <definedName name="TBJUNSEBQRHRUYTJSRUGJNCIIDFANVRJABLACJHYKKXCIWGVHQDRWTCUFXCPVDKOZKIXXORALAYYYATWAIVVDYZZODCTOYTOVASSLLZDKYHXDJDCZIHSKPSQWFFQRVHSAQTDHBRPPORJGJZMYABXKYOGDYIDZGLCCWUFMTKSZMGEBLJUFSVTYAHSTYDAPXVECWMRRQTTWMSSACDZLHZQRBQSZEPVPIWHGULUNPCGDMLWHTPNTCJUOSECQRWZDYO" hidden="1">#REF!</definedName>
    <definedName name="ＴＤＫＥＸＫＶＶＪＡＩＢＤＱＤＪＧＰＯＺＫＷＳＳＡＩＳＭＲＤＡＰＱＧＱＴＸＳＨＭＭＬＪＮＱＧＭＭＵＷＸＴＦＮＪＢＳＴＺＢＩＧＹＥＲＲＦＺＮＸＭＹＨＵＨＮＫＴＬＷＯＴＷＵＡＪＯＯＴＦＣＲＳＡＫＯＩＹＷＷＶＹＱＵＸＧＰＸＳＴＰＣＱＧＥＶＱＡＶＲＸＤＵＵＨＶＺＧＵＤＴＦＪＤＢＹＩＧＲＪＰＳＱＷＥＦＰＪＶＭＡＩＹＣＬＨＸＶＶＵＸＰＭＰＦＺＨＪＫＧＴＨＸＰＮＨＲＷＤＩＡＡＴＭＡＬＲＺＰＹＲＴＧＡＺＷＦＤＰＡＥＣＨＪＱＢＣＨＭＪＹＦＰＫＨＣＳＷＸＷＹＲＮＲＧＮＭＵＷＸＴＧＮＫＨＩＴＨＪＱＶＧＮＧＺＮＭＡＲＡＴＶＩＶＡ" hidden="1">#REF!</definedName>
    <definedName name="TELSIRKMZTSPYWITFIGZGRSWBZNVFPYWQGLLKNFRGNMHJFRZVNEFQEGNSDJIVGGULTMOBOUMKVGTPNMUEYDPMBCSCUPFJKJLXAETAZHWSEMIARSDRTAYQXJJXBHWFSBOBHENFQINQOUDKOFRODEUXHLFFFEHZCGOCBJEGCODCTNYTOVASSLLZDJYHXDKECZIHSKQSRWFFQRWHYGWZJNIXVVUBXBQDWEGHDQEXVPZVQXCTTNFQWEUDKWRPMVUFQC" hidden="1">#N/A</definedName>
    <definedName name="ＴＥＰＣＹＷＣＫＲＣＷＢＮＫＺＡＱＡＤＨＢＬＬＫＮＺＣＧＱＰＸＺＢＸＪＲＮＦＷＸＨＷＹＦＤＶＢＯＱＶＢＰＺＯＡＪＷＪＰＭＶＮＳＸＡＹＥＭＵＹＹＤＰＰＱＨＫＴＹＳＩＧＧＦＩＡＥＨＰＤＺＵＶＲＥＳＩＨＹＳＣＸＴＡＬＬＥＥＳＷＣＱＡＱＣＬＲＬＫＨＱＢＴＺＢＡＦＯＯＺＡＦＱＨＷＤＵＶＺＵＫＨＩＨＪＣＹＣＲＥＸＦＨＩＥＲＫＣＡＵＥＺＶＣＨＹＹＳＬＺＫＱＸＬＥＧＴＮＭＪＳＲＣＮＺＣＩＪＲＢＣＨＭＪＹＧＰＺＪＧＢＪＫＪＬＥＡＥＴＡＺＨＪＬＩＰＬＤＫＵＪＬＳＸＩＯＩＢＰＡＺＮＥＮＧＩＶＩＮＶＵＦＱＣＹＷＣＬＳＤＸＣＺＯＰ" hidden="1">[7]RD9501V!#REF!</definedName>
    <definedName name="TGOKCTUETVCARYLINTHRGSANTQZQCUZCAGOWZAFRODEUSWRHEFEGZCGOCBJENZODCTNYTOVASRLLZDCLBNWCWVSBZLDILJPXYJGSJXFWZYTIGGFIAXBQDWEGHDPETLJDUQXCTTNGTFLVDWYLFEBKJUFFEJLSDEJNLTCMWTOEIIHKCZDSYYGIJFLHZQRBQDITATMALLHQJLYLROXWHSEAPYFQKPAYNNEORBRVVVXJMQFLLTVWQYUMDEODFWNUHHU" hidden="1">[42]②仙台!#REF!</definedName>
    <definedName name="THRGSBOBHENASXAPYFJKPAYMNEHQBQOONQIMPYLLTOPJXNMCXHCYEKBBUVIMTHRGNTNLIRQBTNLRZALLQCSHPFISWRHEFEKHKZNFOPRNZODVTNXTOVADXQDPNENGIVZWFELYBZEGNYZEJGOXHROKOPOQRUJQQYZBXJRNIJTHKQWGNGANYYMDQSFSXUDCNYLHFLTALFKWTIJUXBWMCBEPTWMSSNOKXMEVWHVXECUYZMQXLVKWFSFLIRFXCFDJSOP" hidden="1">#N/A</definedName>
    <definedName name="TJVEKEOXWHZFHGLUUFGLWNCJADMRLHHGJBYBQEWFGIEQFUMKDXEVEXZMGEBKJUFSUTYAHHMRODLUEOLGWABACVRVKQQJKGSAWOFFTWDISZTMZLKYGZBOBGDMLWHUQOUCJUOTFCRXHJNIYCDNYCFUBAIKMIUCYQHISHJQUBNNBFMAJZLUHUAXGYJORPVELPQUGDSTJNWAAXXXZSVPCCKFGCPDTSIDNIELQHHBDIOCMBNWCWVSBTLQTRXGGRSWIZO" hidden="1">[42]②仙台!#REF!</definedName>
    <definedName name="TOKRWNNHANZFMDLEGNMJSQCNZCAGHPAAFKQYHRJEUYBDWSWLRRZBSFMIARTDRTAGQXQKXIIYHACPCIFOMYJVAGPWHBFRPDEVFHLGWABAZDGWCCOQMYWOFGQFHOMVIIWAGUEUGPCPVSBSYEHFLTBEFKNCDTWGKFUSSRUMQTCPPXSANBRQHBLGCJOFFZZMRXLVKRXRQNWVGYDGEKTTEEGXMTKNWBOMMLNGCGVJBJLNIDTLJDNIELQHHBUITZGRKMZ" hidden="1">#N/A</definedName>
    <definedName name="TQFNWGQNIXCCBHDHWCCKMNJWDZRDOCELQBIBUITTHXGEREKHQOALXTRXYJDHTRFGXHJNIWXWYKNRGNMUWXTGNKCXHVXEDUBNMRXLVKXFSGLIRJUMSNSBIMNSDBPQNWAVLJJIKDGNAAIDEAMBQPGNJELQHHBBPTZNYKTZTSPYWIAFIGMUVGFRHWXAKOJYWHJCYCREXFHIERFVNKJEZGMDDWQDOVCEXZMGFCLKVMPNTUCNNSXUJRAKURMCGGGIAET" hidden="1">#N/A</definedName>
    <definedName name="TRXFNQRWIFUVLOYCXMKKJMSVDRQZTVRDSHIDNIDKQHHAAOSZNWMYHNHGDNZRWZXDLMXXCYNVLOYCXNKVYQNQGTMUAWIXMECWHCXEJBAUNBMTKTMOBWTDBMXKNLQSZKLQVSISCLJDTYYXDADTZZHJKGSARIJTIKRWHNHAOZYMDMFHUHNNLXHUQOUCKUOTFCDTDGKFVZAZBNQUJPPXZAWJQIZAKZBIRYLLYDJXHXJSESXUDJBGJHNWDHISQEFWZIS" hidden="1">#N/A</definedName>
    <definedName name="TSJEOJEL" hidden="1">#N/A</definedName>
    <definedName name="TTBDKWEASJLVJLSXIPIBPOCTCVXKXCZJHSYUSYHNHMYVKLBLOSNCHHGJUKZFFNPQMZGDVMNXLOUTKSSGKQEOEQZMZKTKWOTWUAIQUUZLIXYORBFECCBEWZDLZYGBDZLAPOFSNIPUMLFFTSGQFSAHBZWFEPHNPOKKVWBMDSAQTDHBEEDGYVYOBUCEFBNCRJHBMKRWOOHAOZFNDMFHUONKTRDPSQWXFPQVAXMUDNXUPERQTLIMBHHPRSOAIEWDNCE" hidden="1">[42]②仙台!#REF!</definedName>
    <definedName name="TTGKRFPEQZMZFCLDOGLOKSAEEGETUKNXBVLJJILDHKSKXMLCWHCXEJBAUUIMSGQKTZTROYWHZFIGMUVFWIZNVLPYCXNKLKMFBFUHNPQMZNDVSIEZGLCCWPDOUKTMOBVCLKVGAYEGNYZDIGUCMWFCXNRSRTUXMTTBCEAMUQIZALTAFPWQJWIHVGZBOBHENLXIUQOUCKTYKHWXNXAEZOFEGSVZOVUCEFBO" hidden="1">#REF!</definedName>
    <definedName name="TTNNAFLZJYKTZU" hidden="1">#N/A</definedName>
    <definedName name="TUESVBHRY" hidden="1">#N/A</definedName>
    <definedName name="TUFTVCH" hidden="1">[42]②仙台!#REF!</definedName>
    <definedName name="tuiot" hidden="1">#REF!</definedName>
    <definedName name="TUWSEMIARSCRTAFQWQJXIHWEXZMAFCLKVEAYEMUEYDPMBCSCFJETYYLXAETLTVWSEUMDEODFMKCIVVJNTLBNWJWBYHZKCILJOXLMRCAPPGJTXRQQQSLOSANNVQRNAODFZJEAHMDDXXKPVJTIUDJECZSDVBECIQQBCHTJRHKUYTJGGGIBXBQDWEGHBQFXVPZVQXCUTNGUFLSJWYLFEBKIUFRUSYAHNRWUIQAKTOEIJIOLOEKKFGCPEWNOYNPWBLX" hidden="1">#N/A</definedName>
    <definedName name="ＴＶＩＣＢＹＨＣＮＺＣＡＧＩＰＡＢＦＫＩＱＺＪＴＱＬＡＦＦＥＨＺＷＺＰＶＯＱＲＮＡＨＥＷＭＷＬＮＵＺＫＱＫＤＲＣＢＰＧＴＶＩＶＢＹＨＣＮＺＶＴＺＩＰＡＵＹＫＩＪＡＫＭＱＬＢＦＧＦＨＴＷＡＰＷＣＥＦＢＮＶＲＬＮＸＬＮＵＴＫＲＥＥＲＶＣＱＡＰＢＪＷＢＹＨＺＫＣＩＬＪＯＸＥＩＪＯＺＸＭＮＤＢＦＡＱＮＮＮＰＩＬＰＸＫＫＳＮＩＶＪＺＹＰＪＴＯＫＲＷＮＮＨＨＵＺＸＨＸＪＳＹＳＲＯＸＶＨＺＥＨＦＬＴＵＦＣＯＦＴＢＲＶＵＯＥＣＣＢＥＷＴＷＬＺＳＡＢＤＺＬＡＰＨＦＺＷＳＹＥＶＶＯＩＶＧＮＤＭＦＨＡＹＶＥＤＯＺＬＯＸＹＧＱＲ" hidden="1">#REF!</definedName>
    <definedName name="ty" hidden="1">#REF!</definedName>
    <definedName name="tyui" hidden="1">[10]RD9501V!#REF!</definedName>
    <definedName name="ＵＡＩＪＴＵＺＬＢＪＺＤＭＱＬＸＸＷＺＲＯＲＧＵＮＶＷＹＵＧＶＮＬＧＱＬＧＮＳＫＫＤＷＫＶＣＪＺＩＢＤＶＵＲＡＺＫＶＨＫＩＯＱＸＩＪＮＳＱＥＭＳＢＹＴＪＯＯＮＱＩＥＩＸＥＤＬＮＰＬＸＦＲＩＪＵＩＫＲＷＨＯＨＡＯＺＺＰＸＱＳＦＳＹＶＥＤＯＺＬＨＦＬＵＢＭＧＫＷＵＶＬＶＹＣＸＭＲＲＱＴＥＩＬＢＨＡＣＤＺＭＴＱＩＹＩＸＺＧＥＶＣＰＰＤＨＮＢＭＹＨＵＨＶＥＷＨＺＴＲＸＦＭＱＲＷＩＦＴＪＭＷＡＶＬＩＩＩＫＤＧＫＳＦＦＮＩＪＦＳＧＧＸＳＣＸＴＺＦＨＢＢＯＴＺＮＸＮＺＩＯＩＧＤＭＬＷＯＵＧＭＵＶＦＧＬＸＮＣＫＡＤＮＫＡ" hidden="1">[7]RD9501V!#REF!</definedName>
    <definedName name="UDWYLFEAKIUERUSYZHEINLZHRBKHCSWXKCZCRYYGHJFRZVNEBATGSRFQJLYLQNXVGREAYEMUEYAYMNDOQUPFJKJLXPELLTUWSEMIARSCRTAYQWVJNTHRHTCPCQZQCUZCAGOWAAFRODEUXHLHFFEHZRANNVQRNZODCZJEAHMDDXXKGUEUGPVPNFDPHMPNTBCMNSEUJRWFJEUSSRUMJMBTBDEAMBQIGALGUZRQKDRCIPGPIKXRQMWRCORPVXEPPUZ" hidden="1">#N/A</definedName>
    <definedName name="UELEYLWWKBJCEREKHQPTFBZFOVLQCZOPADHCSWXWYKNRGNMUWXTGNKEPCPURASHMPNTBJNNSEBCTWFJEUSSRUMPNAAIDEAMBQPGALGTZQQJJXBIWGVHQWQPMVQIOQPUDDOPUFWLUXHLGWTTTVOKODQJRTUQDRHICMHDKPGGATHKRIQJLEDZJHTDQTRXYGQRMKYGPAJGBRHGJBYBQXXFGICJFXOQAOQXDNUNHUFFTJSLLYEBKJUFRNLRAHSMQCAO" hidden="1">[42]②仙台!#REF!</definedName>
    <definedName name="ＵＧＷＬＴＪＭＷＡＶＫＩＩＩＫＤＺＤＳＦＹＧＤＺＬＡＰＨＦＺＫＦＡＨＭＥＥＸＱＥＰＺＱＹＲＴＧＡＺＷＦＥＰＡＭＰＮＴＶＣＮＯＳＰＤＬＵＦＯＬＧＷＡＢＡＣＧＫＺＦＦＮＰＱＭＹＧＣＵＬＭＡＣＪＯＹＦＺＳＧＦＴＫＴＭＣＱＶＳＢＡＬＷＩＥＤＩＮＹＲＷＩＦＵＶＬＶＹＣＸＮＲＲＲＴＸＡＰＷＷＥＦＨＤＰＸＴＬＣＤＯＣＥＬＪＷＪＪＷＢＨＶＦＵＧＰＣＱＶＳＢＴＥＷＢＥＣＳＡＥＥＪＶＳＨＩＹＡＥＹＯＭＭＬＯＧＫＮＷＪＪＲＣＸＫＹＯＮＥＹＩＤＵＺＲＲＫＫＹＣＪＸＧＷＩＲＸＲＱＮＷＵＧＹＤＧＭＶＶＧＨＬＸＯＣＫＡＥＮＢＱＯＯＮＱ" hidden="1">#REF!</definedName>
    <definedName name="UIMSGQGSBHBZWGEPHNQOUCZZEQGVDIRVQGDEDFYUYNFFLCCVPCNUBRATVICBYHCNADBGIPABGLIQZJTQLBFFFHAWAPVVRSOAIEWNOYBINXEYREQPDUCVXKXDAJITCYWCKSCWBNKLBMOSNDHSUGJOUUCEFBNVRJABMACJHREERWCQAPBKXKQIZLCILJPXFIJOAXMNDGQAQNONPILPXKKSNOKXLBAXHCYEKBBUVIMTHRGSBNLIRQBTZCAFOOZAFQH" hidden="1">#N/A</definedName>
    <definedName name="UNBMTAQZSUHBAXGEQBNQOUOZAEJHVDNXGEYEEEGZVZOUUPRMZGDVMNXLOVAKRLERDCQBUWJWBYIGRAWUAIMGLWUVLVYCXNDCEQTXMTSACDZFCULMWKNTSJQDDQVBPZOAIVAXGYJBHKIOWDHYKHWXNRAEZPMNMOHKOWJJRMVHWLKBVFBWDLLEESWCQBNWCWVSBAOUXVBJKUVAMCRZPSCGAZAZBUQUJWPXZAWJXNFDXOJQVMMGZNYEOXPSEZXUDCN" hidden="1">#N/A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SYGOYSX" hidden="1">[42]①器具製作実績グラフ!#REF!</definedName>
    <definedName name="UTWOSVERRZUVRD" hidden="1">#N/A</definedName>
    <definedName name="UUHMSGQFSAH" hidden="1">#N/A</definedName>
    <definedName name="UXHLGW" hidden="1">[42]①器具製作実績グラフ!#REF!</definedName>
    <definedName name="VAAZCNRUJQPYZBXJVNEFQEGNLDJWWKOUISIUDQURASDVADBHQXBCGSPEHKUYSIGGFIAEHQDDLSINFFYYMQXLUKWFLFEVUFXCFVDEOPUGWLTJMWAVKIIIKKODRJRTVQDRHZCNIDKPHGATHSRHQJLYSROXVHSEHFLMUFFKYMUEOGBRVVIBXBQXWETPCJFYOQAOQXDNUNHUFFVEXZMZEBKJUFSXDLTEXCOLABRBEIDTXYXZADSZSUVRPMEVWMPWULS" hidden="1">[42]②仙台!#REF!</definedName>
    <definedName name="VGSONSBITNSDB" hidden="1">#REF!</definedName>
    <definedName name="VHHVZGUDTFOBOURARDVADBH" hidden="1">#REF!</definedName>
    <definedName name="VQDRHZXRBWSTKKDXKKRIQJLYGDHMKYGQAJHBRWWVYQNQFMLKLHUBYQHISGJPVFMFUGFTKTLOAOTQZYJUGPVELWCOLABRBEIDTXXOZDGVCCKLNJVHZQSCQSZYPWIIWAHVFUGPEJGQHTKQTRXFMQRWNCDTWZUJHHHJCFJREEMHIERFUSNXSOUARZZNRXLVLXGMGKTRDVADBHPQBBGSIXFVYIMLJJILDADSGYHIKGSHWOMZUPWBTSMFTZGXGZBOIGD" hidden="1">[42]②仙台!#REF!</definedName>
    <definedName name="VQGLLKMYBFUBAIKMFNJBSUESUBARYKKYCJXHUCPDIFOGRJPRQQXBCGSQEFWZIMIGGFIAEHQDDLGHDPFDUPZUINFEYYMQWKVHQWQPMVTFXCOUDDAFQHWEUSWRHEFEGZVZOBUCEFBOCVTNXTOVARRLESDJSBUWJDCZIGSDPSQWXFQQVAXGPZJGBQVGIBXBQXWEGHDQXUMDEOCFMRTNGUFESJSLNANBKJUFRNLLSDXCNLZARBDICIIHKVZCKJRTVQD" hidden="1">#N/A</definedName>
    <definedName name="VZAEQOCDUXGK" hidden="1">[42]①器具製作実績グラフ!#REF!</definedName>
    <definedName name="WABACVRVK" hidden="1">[42]①器具製作実績グラフ!#REF!</definedName>
    <definedName name="WHSEAYEN" hidden="1">[42]②仙台!#REF!</definedName>
    <definedName name="WHZEHFLUUFGKWNBJADMQLIJIKDZDSFYGIJFSGWOMGQLZFWWPJWHGXGYBNIGDMLWHTWUACJUVQNCKTDVQGKLKMFBFUBAIKMHUCYQHIADJPZGZTGRRYHACPTQZYJUHDBGPSMRDAPSCEIDTXYXZLOSHONVXGTAXPGHRFIOPWJJXBHRGSBOBHENFQHKIOWKLQCZOPFISWQGQPRKNRZMMUPQMZNNEYIEZGLCCWWKOUISIUDJDBTSDVADBBBMNRDUJQHK" hidden="1">#N/A</definedName>
    <definedName name="WIQMEVXHVXEFMZZMRXLVKWERXUDUGYDGEKSAEEJVSHINWAVLJJWPSWERRZUVRETSJDNJELQHHBBPTZIYKTFDAJITLRTSXGCDIUKZHLVZUKHIHJCYCRIQSUQCRGYWQAWJPGGZTGRYFVEXZMGFCLGRDGEKMTEFJOMUEOXUPFJKJLEAETAZVWSEMIAROCELRBIBVITTHYGZBOBPZXITGCAGOWGAFRODFPSWRHLLLNZCGNMUWXTGNKCTUESVCAJWWKO" hidden="1">#N/A</definedName>
    <definedName name="ＷＪＵＵＩＺＨＡＣＲＸＴＤＢＭＹＵＳＹＨＯＺＴＸＪＨＶＷＮＸＺＡＱＵＵＵＷＩＬＳＺＺＨＩＫＧＳＡＷＯＦＧＱＦＨＯＭＥＫＸＸＥＫＹＩＸＪＳＦＴＹＶＥＷＨＺＥＨＦＩＱＵＵＺＬＩＸＹＯＲＨＢＲＰＰＯＲＪＮＱＺＷＥＺＡＷＪＸＭＬＣＸＨＭＴＹＱＰＪＪＸＢＨＶＦＶＥＫＥＤＡＪＶＮＳＶＴＷＷＨＩＮＹＰＥＬＣＦＰＴＮＤＢＢＡＫＧＫＺＭＦＮＰＱＭＺＮＤＶＴＮＸＳＯＶＡＧＺＳＧＲＸＦＶＥＸＯＩＧＤＡＬＷＩＬＪＰＲＹＪＪＯＴＱＣＭＷＦＣＸＮＳＳＲＴＭＩＭＢＩＨＰＲＤＱＸＴＬＣＥＯＣＥＬＲＢＩＢＶＩＴＴＨＸＧＤＱＤＪＦＰＮＺＪＷ" hidden="1">#REF!</definedName>
    <definedName name="ＷＫＯＶＪＳＩＵＤＪＤＣＺＩＨＳＫＰＳＱＷＨＲＳＸＪＺＯＷＭＰＺＤＣＺＡＺＢＵＱＵＪＸＰＸＺＢＹＭＢＴＲＫＧＢＩＮＥＥＹＲＦＱＷＤＵＤＷＭＧＦＣＺＫＶＩＫＪＯＱＸＩＪＯＳＴＢＫＵＥＢＷＭＱＲＱＳＬＨＬＡＧＤＦＧＣＯＷＳＫＢＣＮＢＤＫＢＩＣＶＩＩＷＭＶＯＱＤＱＷＴＣＢＬＹＵＳＶＣＮＨＬＸＶＪＫＢＬＮＲＭＣＧＨＧＷＺＤＳＹＹＧＩＪＬＴＰＨＹＺＩＫＲＰＨＯＡＣＨＮＢＬＢＮＷＩＷＢＹＨＺＫＪＭＫＱＺＧＫＫＱＮＣＤＴＷＧＫＦＵＳＬＯＧＫＮＷＪＪＲＭＮＪＴＩＨＹＴＤＹＴＺＲＲＫＫＹＣＩＸＧＷＩＺＴＲＯＹＷＨＺＦＰＶＤ" hidden="1">[7]RD9501V!#REF!</definedName>
    <definedName name="WKVUIZIBDQDIFONYJWSQWE" hidden="1">[42]②仙台!#REF!</definedName>
    <definedName name="WMKKJMEBEUHAIKLHTIXPNHSELQIIBUITZFOHJWQPMVTFQCFDJKKLQVSHPYISPKAEEDGYODJJRTUQCKGYPRBPRYDODWKVUIZIBDQDNWVGREAYEMTEYDPMBCSCFJDMNMOADHWDMNPLXFPGHRFIONELYYYESCSENANTQZQBHKINWWXCOLAGJSWRHEFEGZCGOCBJEGBLAZQKUQLSXOOIIWAJSIUDJDAJITLQTRXGGRSWIZNVLPYTIGGGIBXBQDMOPLP" hidden="1">[42]②仙台!#REF!</definedName>
    <definedName name="WMPZDYOLMLNGJNVICWYUGVKJGQLGNTKKDDRVCQBDMLWFIGLUUFGLWNCKADNRNKLKMFBFUHAIKLHUJBZTDZUBGXXRKYJPWHACPJIFOMYJVYWCWHIMRPDLVFXSHMMLOGDGWCCKMNJVLDUVFTWDISZTMZKKYJCEREJGVGREAYDMTEYDOMBCSCUPFJJJLXAETZZHJKGTAWRSCRLJBIUUIMTHQGSBOSPYQBTYLQZGKLQBZAQTDHCSPQDVYCKYXFACYKZ" hidden="1">#N/A</definedName>
    <definedName name="WRHLZCNRSYYGIJFRZVNEFQEGNMDKWWDKYIXJSFGDMEPHMPNTCJNOSECGWZJNIDEDFYBFNAAIDEANBRQHAVQXCUUNNBTHRHTCIPMVUFLOMSABLMRDTIQGJTGWTUTVTXMZSACDZPEWUOYUPWBSSMFTEZQZSUHBAWGEQANQOURCDIMKZYISPJZEEDGYVYNUQSTPCJGYPQAORXDNWPCONGPIKSYVEDOZLHFLUBMGKJXYPZBFAQUVUWIXMTSACEBIEWN" hidden="1">[42]②仙台!#REF!</definedName>
    <definedName name="wrn.１９９５厨房短期計画." hidden="1">{#N/A,#N/A,TRUE,"月別販売計画Ａ";#N/A,#N/A,TRUE,"品種群別出荷量展開Ｂ";#N/A,#N/A,TRUE,"工場別出荷数量Ｃ";#N/A,#N/A,TRUE,"在庫指数計画Ｄ";#N/A,#N/A,TRUE,"月別生産計画Ｅ";#N/A,#N/A,TRUE,"生出在一覧  Ｆ";#N/A,#N/A,TRUE,"NewCRDトップ生産計画Ｇ";#N/A,#N/A,TRUE,"NewLSトップ生産計画Ｈ";#N/A,#N/A,TRUE,"NewCRD扉生産計画Ｉ";#N/A,#N/A,TRUE,"NewLS扉生産計画Ｊ"}</definedName>
    <definedName name="wrn.Aging._.and._.Trend._.Analysis." hidden="1">{#N/A,#N/A,FALSE,"Aging Summary";#N/A,#N/A,FALSE,"Ratio Analysis";#N/A,#N/A,FALSE,"Test 120 Day Accts";#N/A,#N/A,FALSE,"Tickmarks"}</definedName>
    <definedName name="wrn.DASDTCC1.RPT." hidden="1">{#N/A,#N/A,TRUE,"ALL DASD"}</definedName>
    <definedName name="wrn.グラフ詳細." hidden="1">{#N/A,#N/A,FALSE,"グラフ"}</definedName>
    <definedName name="wrn.下期." hidden="1">{"全社（月度）",#N/A,TRUE,"印刷シート";"全社（下期）",#N/A,TRUE,"印刷シート";"全社（累計）",#N/A,TRUE,"印刷シート";"北海道（月度）",#N/A,TRUE,"印刷シート";"北海道（下期）",#N/A,TRUE,"印刷シート";"北海道（累計）",#N/A,TRUE,"印刷シート";"東北（月度）",#N/A,TRUE,"印刷シート";"東北（下期）",#N/A,TRUE,"印刷シート";"東北（累計）",#N/A,TRUE,"印刷シート";"本社（月度）",#N/A,TRUE,"印刷シート本社";"本社（下期）",#N/A,TRUE,"印刷シート本社";"本社（累計）",#N/A,TRUE,"印刷シート本社"}</definedName>
    <definedName name="ＷＴＣＢＭＥＪＭＫＱＺＺＫＬＰＢＳＧＯＦＩＧＢＲＯＰＯＱＪＦＪＹＬＥＭＯＰＬＹＭＢＺＴＥＱＸＣＴＴＮＧＵＦＬＳＪＳＬＮＡＵＳＰＹＸＩＵＸＶＢＤＫＶＶＡＦＣＲＺＩＳＣＺＬＱＱＰＳＫＨＫＡＧＧＥＧＢＯＷＳＫＢＣＭＢＤＫＰＺＧＢＯＺＺＮＥＭＦＨＵＨＮＫＴＳＤＯＡＱＷＥＭＷＱＶＧＵＶＭＷＹＣＸＮＲＳＲＴＦＩＭＢＩＨＰＲＥＱＹＵＭＤＥＯＤＦＭＫＣＩＶＸＣＩＷＧＶＨＱＤＱＷＴＣＵＦＸＣＦＤＧＯＳＳＸＩＸＸＯＲＢＦＺＰＮＮＭＷＺＤＬＹＹＧＢＣＹＬＺＰＯＦＺＪＥＡＨＭＳＬＬＺＤＪＹＨＸＪＮＨＦＣＭＸＰＵＸＶＢＫＫＶＶＡＭ" hidden="1">[9]RD9501V!#REF!</definedName>
    <definedName name="WVPPDHNBLBNTOMJSRCUZCAGPPARDTIQGJCXMKKJMEBFUHAIKSFTJBZTDYUBGXJCQBHOFOHJWQOLVTEPQOUVDOOTYVKSBLVSNDHHHGDHWCCKMNHPLDUVFUWDISLERDCQHPIKXLQNWVGRDZXXEPJOAXMNDNQUOEONQBUJPPXZAWJQMEVXHVXUMTFFTXESBRDMZMSKBNEKNLRZHKVHETUKNXBVLJJILDHKTGGUVRESIHXSCXTAFWWQQDHOETFOUONK" hidden="1">#REF!</definedName>
    <definedName name="WVXQMQFSLTVWSFTJBZTD" hidden="1">#N/A</definedName>
    <definedName name="WVYQCRYXFHIEDZRIJUIKRWHOHGRRFWEXXLQNWVGRDZYDMTEYDOMABSCUPEJJILWADTKSUWRELICDOCELJBHUUIMSGQGSBOBHEQBTYBZFOVZAEZOPFISWRHEFEGZCGOBBJEFSHWVMGQMHODDWWKOVJSIUUPNKTSDVADBHQQBCGSJRHKUYSIGGFIAXAQDWEGHDPEXUPZUQWCTTMGTELSJRYLFDAKITERUSYZHRSXCZOWAKHCSWXWCZCRYXFHJFRZV" hidden="1">#N/A</definedName>
    <definedName name="WXHWYFKVBKXIIWNVOQDQWTCNYLHFKTAUTOEIIIKWZDSYYGIJFSZVMNYMOVTAMNAELZUGPCPURBSEVBDJRZCDIURGHXAKOJYSRUMQTCPPXSTPBQFEVQASZEVVPPCGNBLAKQKJGPNZROMSABMZKBQXZJNHXVVULHLAOGOQSNAOEWUOVQXCUTNGUFLSJSIVPOLUTEDGEKLTDEJOOWGQZXRHMMLOSVKRRZACYKSOGXYJXOTDKEXKDRIRJMYMROXWHSW" hidden="1">[42]②仙台!#REF!</definedName>
    <definedName name="WXTGNKCTU" hidden="1">#REF!</definedName>
    <definedName name="WYLGEBKJUFRUSLTDEJOLAIRBLIDIJIKDZDSZYGIKFSZWOFCYANAGDMLWHTPNTCJUOSECDTDGKFVZZZBNQUJPPXZAWJQQHISHJARYKKYCJXGWIRERXUDVGYRPVELPQUGESTKNWAVLJJWOSVERRZUVRDTRIDNIEKQHHABOSZIYKTZTAJHTLQTRXFGRRWIYGXAJUKHIHJKNCQJRSUQCRGYWQBWRYDVUOGRYFWEXZMGFCVGREHFKMTEFKPMBJNXUPEV" hidden="1">[42]②仙台!#REF!</definedName>
    <definedName name="x" hidden="1">[45]RD9501V!#REF!</definedName>
    <definedName name="XEJTAUNBMLZQZSUHUZWFEPA" hidden="1">#REF!</definedName>
    <definedName name="XGFQIORPUDDOPUFWL" hidden="1">[42]①器具製作実績グラフ!#REF!</definedName>
    <definedName name="XIVRPUDKVPU" hidden="1">[42]②仙台!#REF!</definedName>
    <definedName name="ＸＩＷＹＦＫＶＢＶＯＣＮＭＡＲＡＴＶＩＶＢＹＨＣＮＺＶＸＧＮＹＳＵＲＧＨＸＨＫＯＫＯＰＯＱＣＦＪＹＦＥＭＯＰＬＲＮＦＷＸＨＷＤＣＴＡＭＭＡＥＬＵＪＷＥＲＦＫＨＱＩＴＬＲＴＳＸＧＮＲＳＸＩＧＨＸＡＫＯＪＹＷＷＶＹＱＵＳＦＦＮＩＪＦＲＧＶＵＬＦＱＬＧＮＩＩＣＣＰＵＡＯＹＮＺＩＯＩＨＥＮＭＸＰＵＨＮＶＷＧＨＪＺＯＷＭＰＺＤＹＯＬＬＬＮＧＣＧＶＩＵＷＹＴＧＵＫＣＡＵＥＺＶＣＨＹＹＳＸＩＯＷＭＺＢＯＩＨＥＮＭＴＧＪＨＺＨＳＳＸＣＺＯＷＦＰＺＷＲＨＬＬＬＮＧＣＵＡＡＩＫＬＨＵＢＸＰＧＩＳＧＩＰＶＦＭＫＸＪＩＷＨＡＣＰ" hidden="1">#REF!</definedName>
    <definedName name="XPGISGIPUXRKXJIWNVOQDRWUTEPBXWBKRCWYVKLBLOSNCHHGJUYBRXXFHIVDZRIJTIKRPHNAAOSYHXJSFSYVEWHZZXDLTXXCOLABRUEIDTQBEWZDLZYGBDZLAPOFZJFAHMICCPUAOYNAIPJQZYJBGZFNOLQBSHPFISWQGEEDGYDSGYHIKGSHWORCXSZEWWPIWHNDMFHUONJTRDNADBHIQABGLIQZKTQLBFGFHAWAPWVDLHUBYQHISGJQVFMGYJI" hidden="1">[7]RD9501V!#REF!</definedName>
    <definedName name="XWTCBMXJMKQSZKLP" hidden="1">[42]①器具製作実績グラフ!#REF!</definedName>
    <definedName name="ｘｘ" hidden="1">#REF!</definedName>
    <definedName name="XXKOVJTIUDJD" hidden="1">#REF!</definedName>
    <definedName name="YAVIWMECWGBXEJAAYMXDLBKDFSMLIRPBMYBZFGORWBYNUEOYVRVVVXQMQFQYABVDZRIJTIKRWGNHAOZYMDXZMZFCLJVGSOMSAIYCOLABRBEIDTXYXZLOSSSACDZMTPIYAKYBHJPCCQUAOYOAJWGDMEPHNQOTCJNOTNCDTWGKFUXWZRVYHUUCXYUGVKJAUFAVCKKEERWCQAPBKQKJGPRJORPVEEPQSIXFVNRMBZZZFBFUIAIKMHUIYQOISNJQVMY" hidden="1">[7]RD9501V!#REF!</definedName>
    <definedName name="YFQQVAXMUDNXUPFJKJLUYNTTBDEAFCULMWKNUZJQKDQCBPGOHJVBXHFRBOKIIPAUYKIWXNYAEZPTUTVWZOVVDEGCOWSKBCNBDKIAGFTXDRBRDMZMRJAMEJMTBJMNSEBQRHKSNCALNGJNVIIQLUGVKJAUEAVCHYYSSGKQEPBKQKJGPNZHKIOXXIJNZQFMDGPAPNNMPHEIXKDLNRDSHZXRCXSZEYSLZKQXOXMZTROYWHSFIGLNUFWBYNVEJHBRWWV" hidden="1">#N/A</definedName>
    <definedName name="YFWFYANHFCMHSEHFLNUFGKPNCJTDMHXBCBDWSWLSRZBDYLTPHYDSUBGQXRKYJIWNWPGUZWFEPAUSYGOYSXJGVWMWZDYNSLOZDGVCBJLNJVDZRIJTIKSJQDDPVJTJPCPVSBSZEHFLUBFFKWTDTWGKFVSTSUTXFSSAVWSETIHYTDYTAFXXQPUAOYOAJPJYHGRJORPVEEPXJZOWMTXSIFFFHAWAPCVDFGCPDWUOYUPWBSSMFTEKRUNPCPMVTFQCFDJ" hidden="1">#N/A</definedName>
    <definedName name="YGUTBWYTGUKJA" hidden="1">[42]②仙台!#REF!</definedName>
    <definedName name="YHACPJHEOMXIVYWCDLVWOLAIRBLIDSXXWGCGVCBJLNDEHOTDKEXKVVJAIBDQDJGPOSEAZENUFZEPNBCTDFKENNNPBEIMMUVXTFNJBSTDSUBZRXKKRXLVKWFSGLIRJUMRUSPWABGSPEFVYAVLIJIKDGKSGFNIKFSGWVOYTPWBSSMMZEKWMYHNHGDMKWBECIQRCCHTJYGOYCXMKKJMEBCPIQSTPCQNKFPKGMSJJCWJUBIZHACPJNWVGRDGEKMTEFJ" hidden="1">[42]②仙台!#REF!</definedName>
    <definedName name="YHZKCILJOXEIJOIXYORBFAQNNNPILPXKKSNOIXMLCWHCXEMKNLRZAKLQCSHPFISWRPQPRKGKZMFNPQMZNDVTNXSOLDCWPDOGWFYANHGDMKWHTWSUBMNRWUIQAKTQLBFGTLIMBHHPRSOAIEZAKYBINXEYREQPDUCVXKYDVUFQKINWDTYKHWXNXAEAFFEGSVZOVUCEGBOWSFGRFHOMELXXLPWKTJVEREZIALDILJPYFVALJXYPSBGAQOONQIMPXLK" hidden="1">#N/A</definedName>
    <definedName name="YONEYIDZGLCCWWJOUISHTCONKTRDVADBHPQEJVLAIYBLDTRRQXUXMASAHCPDTLJDNIEKBBVOBNTARAGTNMJBNYKNLRSALLGESAKUDAVLQQPNJNCJIQSTPCJGYKUILSXHOIALKYPYWJWCZIGSDPLJPZJDIURGHXHKOKPPORCGJYFYABXJRNFWTHJQPGNZANRYMWLXGTGMJMYQVYWCKSWVHETUKNXBWMJUXPSWESRZUWSETIHYSCWDIZZTTGLRFPE" hidden="1">#N/A</definedName>
    <definedName name="YQHITHJQOGMZZNRX" hidden="1">#N/A</definedName>
    <definedName name="YUMDEPDFMLCJVVJNUIRHFSFLIRIUMRUSYGOSSXJGVXBKOJQQQYTUQDRHGXRBWSZPPIIWAHVEUGPVPWFEPHMPNTFQRVHYMULOXBWMKKJMEBETTBDFANBRJHBLGCJOFFZITAHYGZBOIHENMXIUXVPWHHMRODLUEOLGWABACLPEKKSUVRELHAVFTVCISZSMZKKIRKMZMSPYWITFBQZGRLEBQRHRUYDHIHJVYCRXXFHITBXPGISGIZQXKKXCIWGVIQD" hidden="1">#N/A</definedName>
    <definedName name="yutik" hidden="1">#REF!</definedName>
    <definedName name="ＹＶＥＣＯＺＬＯＭＳＴＢＬＭＨＦＴＢＫＶＥＢＷＣＣＢＥＷＴＷＬＳＳＡＢＤＺＬＴＳＪＬＶＪＬＳＸＩＰＩＢＰＡＡＯＥＮＧＩＨＭＪＳＲＣＮＺＢＧＰＷＨＢＧＲＰＥＥＶＦＩＭＧＭＭＬＯＡＤＨＷＣＣＫＭＮＪＶＤＺＲＶＦＴＷＤＢＳＺＭＹＣＩＷＧＷＩＲＥＲＸＴＤＵＧＸＤＰＶＥＬＰＰＵＧＤＳＶＹＩＭＧＷＵＵＴＷＯＳＶＤＲＱＦＧＣＰＤＳＲＩＤＮＩＤＫＱＨＨＡＡＯＳＺＮＷＷＦＬＦＥＷＵＧＸＤＧＷＥＦＰＱＶＨＸＭＵＫＮＸＢＶＬＪＪＩＬＤＰＥＲＫＳＵＶＲＥＳＩＡＸＳＣＸＴＡＦＷＯＨＶＧＭＴＫＴＭＯＢＶＴＱＡＹＪＵＶＴＺＡＩＴＴＹＤ" hidden="1">[9]RD9501V!#REF!</definedName>
    <definedName name="YYXASWZIVVDYZVHXWNHRMIPWWQQEIOCMCOXDXVSBALDJVBJKVVXOCKBENRMCAAZCURUJXJLMIUJYQOITOJQVNNLYKQXOWYLFEBKJQDGEJLSDEJOLAIMWTOEIJIKDZDSYYGVRDLHZCNBDKLSLFSDDRIQJKXCZIHSDQMBJRCVXVJKBLNROSTSUGJNCJIQSTPVRJABLOUTKREERWCQAPBJWBYHZKCWUAIQTUWTIJZDMQLBYZYAILTHGPJLHTIXYTDY" hidden="1">#N/A</definedName>
    <definedName name="z" hidden="1">#REF!</definedName>
    <definedName name="ZAQADNDHIHJKNCJIQSUQCKGYCMACJIZGSTGKQAQCLXLQNWOZRXJPXFIJOAXMNDGQAQOONQXBJWQKMIUJYXOISOBHYYRRUBPZOAJPJIFONYQVYWCLHINYPEMCFPTNDBBOHDHWJCKMNJWKZSPKUPDIZZTMALRYPYRTGAYVFALXAYEFNYYDIFOXHROJZDDCFXUYNTMOPLYFCWXIWYFKVCVOCNMBRATTGMJSRCNZVKTALFHETUKUXBXBCBDPSWLSRZB" hidden="1">#N/A</definedName>
    <definedName name="ＺＢＩＨＹＦＲＳＦＪＱＥＯＤＢＯＣＨＥＮＦＱＩＮＱＯＵＺＤＤＩＵＲＧＨＸＡＫＸＮＬＬＫＮＦＪＭＶＩＩＱＬＪＷＫＡＺＱＫＵＰＬＳＸＯＯＩＩＶＡＪＳＩＵＹＳＱＮＸＶＧＹＥＨＦＫＴＴＥＦＫＶＭＢＪＺＣＥＺＰＭＮＭＯＨＤＨＷＫＣＫＭＮＪＭＢＴＲＭＷＲＭＴＹＱＱＪＣＱＸＥＶＤＮＡＵＴＱＺＸＪＵＧＪＨＮＫＶＷＡＦＤＲＫＵＥＢＷＭＱＱＱＳＬＨＬＡＧＤＦＧＣＯＷＺＱＲＢＰＳＺＥＯＶＰＫＶＶＪＺＩＢＤＱＤＪＧＰＮＺＫＷＳＱＧＮＹＳＸＪＧＶＷＭＷＺＤＸＮＳＳＩＵＸＢＱＸＷＥＧＨＤＱＸＵＭＤＥＯＣＦＭＲＸＫＫＹＣＩＷＫＷＦＳＮ" hidden="1">#REF!</definedName>
    <definedName name="ZDEIURGHXBKOJZWXWYRUY" hidden="1">[42]②仙台!#REF!</definedName>
    <definedName name="ZJEAHMDDXQDFMDLEGTNMJSRCNZCAGIPPUZWBKUEBWMQRQSLHLAVCPBAOFNGIVJOLUTEPBXWBKRKPBYNNXZDYOSTSUGJRXXFHIEQYUMDFPDFMLCJVVJCQZPBKXKQNWOZROMSAHLMRDAPQGJTXRHFFPILPXKKSNOKXLAZQLFAHMEFFTXDRBRDMSMLIRQINQOUCDNOTFVKQTDHCSPDGYVYOBUCEFBNZRPKUPKRWOOHAOZGNDMWIDBYHGRCOYDFMXYD" hidden="1">[42]②仙台!#REF!</definedName>
    <definedName name="ZODVTNYTOVASRL" hidden="1">[42]①器具製作実績グラフ!#REF!</definedName>
    <definedName name="ZQRBQSZXOVIIWAGUEUTGTZWFXIAFIGMUCGGLXUJTWFKEUSSRUMQTBPOWEBPZOBJQBYHGRJORPVEEPQUGXLTJNFZPNNMPHEHXKDYZVIWMUOYUPWBSSMFTEKRIOQDXWTCAMXJMIKRCCHMJYGPZSMCHHGJBYBRXXLMIVCZRIJTHKRWFZSGRQEVEXZMZEBKJUFSRWFMXRWHFUULVYCWMRRQTEXMSSACDZLTPHYZKYAYPWNBFLZJZLUHUAXGXJBGJHNV" hidden="1">[42]②仙台!#REF!</definedName>
    <definedName name="ZRIJTHKRPGNAANSXHXJSFSAJAMEJMKQYGKKPBYZLGIEQFUTPAVQHZYSRVBQZPBKQKYHFRIORPVDEOFRIWEUYHLGWTUTVOTIVOWYZVIWMEXHCYEKBBUOBMTIRUSXZGRSXBZOVFPZVLQQPSKHKZGFNCYKSOGXYJXZGLWDWPDOOCSMOBOTLJVGSOMSAITMRDAPQVYCXNRCEQTXMTSACEZMIARSDRLKBIVVIMTHRGSBOBHEKVNSFKTAEFKVTIJZCMQK" hidden="1">#REF!</definedName>
    <definedName name="ZUEZUBHYYRLYJQXNWPREYJSQCNZCAGHPZAFKEMVFPMHXBBBDWSWLRRZBCYHDVMNXMOVALRLESDCQHQJLTZVFDPZMIGMUCMGLJYYPZCGAQVVUXIMMTTBCEAMUXOPZNQXVMTGGTYBKAMVIVMVNYQWZXCLEFKWTIJZAEZPNNMPHKOWKJRMOETIHYSCYTAFWEESWDJYKTZTSPYXIAFVBJKVVAMCHXAKOJGHGIBXBMEMOQMYNCUSMGCJOFHANZFMDMEH" hidden="1">#N/A</definedName>
    <definedName name="ZUJHHHJCYCREXFHIERFYWQBWRYPOIBPAGNENLSQWYFQQVAXMUDNXUPFJKXPMPELKSUWSEMIARSCRTQBHBUNMARATVYDAKITERNLRZHRBNKZAQADHCSWWWYKNAHGOQSNAHZQRBDKIAHTTHLRGPFRANAGXPASXAYENUYZDPNBEHRVPFDDCFUYGUTBWYUGVKJAUCYFKNGGUYESCSENHGDMKWNTWUAIJTUZLBWMQZDYOLMLNGCGVIBWYUGVKCAUEAVC" hidden="1">#N/A</definedName>
    <definedName name="ZUWSETIHYSCYTAFXWQQEI" hidden="1">#REF!</definedName>
    <definedName name="ZXLTDNWTOEJJIKEHXDDFGCPWTLCDNBELQAHBUEDRIRKKXDAJHTEQVBKRCWAMKYZQACGBRVWVXJUKQQYAPCJGYBLACJHZFSSGKJTJVEREJGPHSKQJPXFIZLJXYPSBFAQOONQXAJWWEZAWIXMLCWHCXEJBBUTXESCRDMSMLVUFXDGEJLVWBNDSAQTDHCRPPORJVKYQFGCODSKICNIDKPHHMALRYJCERLKHQOALXJPRYJKOTRFNSCZUKOOOQJFCJIQ" hidden="1">#N/A</definedName>
    <definedName name="ZZ" hidden="1">#REF!</definedName>
    <definedName name="ZZZ" hidden="1">#REF!</definedName>
    <definedName name="ZZZZ" hidden="1">#REF!</definedName>
    <definedName name="ZZZZZ" hidden="1">[34]RD9501V!#REF!</definedName>
    <definedName name="ZZZZZZ" hidden="1">#REF!</definedName>
    <definedName name="ZZZZZZZZ" hidden="1">[34]RD9501V!#REF!</definedName>
    <definedName name="あああ" hidden="1">#REF!</definedName>
    <definedName name="ああああ" hidden="1">#REF!</definedName>
    <definedName name="いけめん" hidden="1">[7]RD9501V!#REF!</definedName>
    <definedName name="ｲﾙﾐ" hidden="1">#REF!</definedName>
    <definedName name="え" hidden="1">{#N/A,#N/A,TRUE,"月別販売計画Ａ";#N/A,#N/A,TRUE,"品種群別出荷量展開Ｂ";#N/A,#N/A,TRUE,"工場別出荷数量Ｃ";#N/A,#N/A,TRUE,"在庫指数計画Ｄ";#N/A,#N/A,TRUE,"月別生産計画Ｅ";#N/A,#N/A,TRUE,"生出在一覧  Ｆ";#N/A,#N/A,TRUE,"NewCRDトップ生産計画Ｇ";#N/A,#N/A,TRUE,"NewLSトップ生産計画Ｈ";#N/A,#N/A,TRUE,"NewCRD扉生産計画Ｉ";#N/A,#N/A,TRUE,"NewLS扉生産計画Ｊ"}</definedName>
    <definedName name="エミコ" hidden="1">[7]RD9501V!#REF!</definedName>
    <definedName name="ぉ" hidden="1">#REF!</definedName>
    <definedName name="おがわ" hidden="1">#REF!</definedName>
    <definedName name="くに" hidden="1">#N/A</definedName>
    <definedName name="クマガイ" hidden="1">[21]A!$AO$10:$AO$13</definedName>
    <definedName name="クマガイ１" hidden="1">[21]A!$AB$10:$AE$10</definedName>
    <definedName name="クマガイ2" hidden="1">[21]A!$AO$24:$AO$32</definedName>
    <definedName name="クマガイ３" hidden="1">[21]A!$AO$38:$AO$44</definedName>
    <definedName name="クマガイ４" hidden="1">[21]A!$AB$19:$AJ$19</definedName>
    <definedName name="クマガイ５" hidden="1">[21]A!$AB$37:$AH$37</definedName>
    <definedName name="ｸﾞﾗﾌ" hidden="1">{"'表紙'!$A$1:$W$39"}</definedName>
    <definedName name="ｸﾞﾗﾌ2" hidden="1">#REF!</definedName>
    <definedName name="コミニュケーション" hidden="1">{"'表紙'!$A$1:$W$39"}</definedName>
    <definedName name="ｺﾐﾆｭｹｰｼｮﾝ計画" hidden="1">{"'表紙'!$A$1:$W$39"}</definedName>
    <definedName name="スケジュール" hidden="1">{"'表紙'!$A$1:$W$39"}</definedName>
    <definedName name="ｽﾄｰﾌﾞｶﾞｰﾄﾞ" hidden="1">#REF!</definedName>
    <definedName name="ｾﾚﾌﾞ" hidden="1">[46]RD9501V!#REF!</definedName>
    <definedName name="ソーダアッシュ">#REF!</definedName>
    <definedName name="たいうおう" hidden="1">{"'表紙'!$A$1:$W$39"}</definedName>
    <definedName name="っっj" hidden="1">{"'表紙'!$A$1:$W$39"}</definedName>
    <definedName name="てｓｔ" hidden="1">{"全社（月度）",#N/A,TRUE,"印刷シート";"全社（下期）",#N/A,TRUE,"印刷シート";"全社（累計）",#N/A,TRUE,"印刷シート";"北海道（月度）",#N/A,TRUE,"印刷シート";"北海道（下期）",#N/A,TRUE,"印刷シート";"北海道（累計）",#N/A,TRUE,"印刷シート";"東北（月度）",#N/A,TRUE,"印刷シート";"東北（下期）",#N/A,TRUE,"印刷シート";"東北（累計）",#N/A,TRUE,"印刷シート";"本社（月度）",#N/A,TRUE,"印刷シート本社";"本社（下期）",#N/A,TRUE,"印刷シート本社";"本社（累計）",#N/A,TRUE,"印刷シート本社"}</definedName>
    <definedName name="ﾃﾞｨｽﾞﾆｰ" hidden="1">'[46]#REF'!#REF!</definedName>
    <definedName name="トステムブランド" hidden="1">{#N/A,#N/A,TRUE,"月別販売計画Ａ";#N/A,#N/A,TRUE,"品種群別出荷量展開Ｂ";#N/A,#N/A,TRUE,"工場別出荷数量Ｃ";#N/A,#N/A,TRUE,"在庫指数計画Ｄ";#N/A,#N/A,TRUE,"月別生産計画Ｅ";#N/A,#N/A,TRUE,"生出在一覧  Ｆ";#N/A,#N/A,TRUE,"NewCRDトップ生産計画Ｇ";#N/A,#N/A,TRUE,"NewLSトップ生産計画Ｈ";#N/A,#N/A,TRUE,"NewCRD扉生産計画Ｉ";#N/A,#N/A,TRUE,"NewLS扉生産計画Ｊ"}</definedName>
    <definedName name="ﾉｳﾊｳ" hidden="1">{#N/A,#N/A,FALSE,"グラフ"}</definedName>
    <definedName name="マスタ" hidden="1">{"'表紙'!$A$1:$W$39"}</definedName>
    <definedName name="まどか" hidden="1">#REF!</definedName>
    <definedName name="もの" hidden="1">[47]RD9501V!#REF!</definedName>
    <definedName name="ゆうか" hidden="1">#REF!</definedName>
    <definedName name="ラミ" hidden="1">#REF!</definedName>
    <definedName name="ララミ" hidden="1">[10]RD9501V!#REF!</definedName>
    <definedName name="ロッキー" hidden="1">[10]RD9501V!#REF!</definedName>
    <definedName name="ロッキー様御見積" hidden="1">#REF!</definedName>
    <definedName name="공간" hidden="1">#REF!</definedName>
    <definedName name="공간박스" hidden="1">#REF!</definedName>
    <definedName name="三田式次第" hidden="1">#REF!</definedName>
    <definedName name="伸縮棒棚提案書" hidden="1">#REF!</definedName>
    <definedName name="体制" hidden="1">{"'表紙'!$A$1:$W$39"}</definedName>
    <definedName name="全体" hidden="1">{"'表紙'!$A$1:$W$39"}</definedName>
    <definedName name="六期イー" hidden="1">#REF!</definedName>
    <definedName name="共通" hidden="1">#REF!</definedName>
    <definedName name="写真" hidden="1">#REF!</definedName>
    <definedName name="写真１" hidden="1">#REF!</definedName>
    <definedName name="写真１０" hidden="1">#REF!</definedName>
    <definedName name="写真２" hidden="1">#REF!</definedName>
    <definedName name="品揃え" hidden="1">#REF!</definedName>
    <definedName name="品質" hidden="1">{"'表紙'!$A$1:$W$39"}</definedName>
    <definedName name="商品一覧" hidden="1">#REF!</definedName>
    <definedName name="在庫表" hidden="1">#REF!</definedName>
    <definedName name="対策" hidden="1">{#N/A,#N/A,TRUE,"月別販売計画Ａ";#N/A,#N/A,TRUE,"品種群別出荷量展開Ｂ";#N/A,#N/A,TRUE,"工場別出荷数量Ｃ";#N/A,#N/A,TRUE,"在庫指数計画Ｄ";#N/A,#N/A,TRUE,"月別生産計画Ｅ";#N/A,#N/A,TRUE,"生出在一覧  Ｆ";#N/A,#N/A,TRUE,"NewCRDトップ生産計画Ｇ";#N/A,#N/A,TRUE,"NewLSトップ生産計画Ｈ";#N/A,#N/A,TRUE,"NewCRD扉生産計画Ｉ";#N/A,#N/A,TRUE,"NewLS扉生産計画Ｊ"}</definedName>
    <definedName name="対策②" hidden="1">{#N/A,#N/A,TRUE,"月別販売計画Ａ";#N/A,#N/A,TRUE,"品種群別出荷量展開Ｂ";#N/A,#N/A,TRUE,"工場別出荷数量Ｃ";#N/A,#N/A,TRUE,"在庫指数計画Ｄ";#N/A,#N/A,TRUE,"月別生産計画Ｅ";#N/A,#N/A,TRUE,"生出在一覧  Ｆ";#N/A,#N/A,TRUE,"NewCRDトップ生産計画Ｇ";#N/A,#N/A,TRUE,"NewLSトップ生産計画Ｈ";#N/A,#N/A,TRUE,"NewCRD扉生産計画Ｉ";#N/A,#N/A,TRUE,"NewLS扉生産計画Ｊ"}</definedName>
    <definedName name="小物" hidden="1">#REF!</definedName>
    <definedName name="提出用" hidden="1">{"'Sheet1'!$A$1:$E$128"}</definedName>
    <definedName name="改革" hidden="1">{"'表紙'!$A$1:$W$39"}</definedName>
    <definedName name="数量調査" hidden="1">#REF!</definedName>
    <definedName name="新組織１" hidden="1">"'[人時実績表ホームページ変換用（月間）.xls]ソート'!$A$2:$AC$57"</definedName>
    <definedName name="新組織１０" hidden="1">"1998年8月度(7/21～8/20)"</definedName>
    <definedName name="新組織１１" hidden="1">"残業率=時間外/(月標準定時数*残業対象者数)*100"</definedName>
    <definedName name="新組織１２" hidden="1">"98/08/19"</definedName>
    <definedName name="新組織１３" hidden="1">"'[人時実績表ホームページ変換用（月間）.xls]人時実績'!$A$2:$AC$130"</definedName>
    <definedName name="新組織２" hidden="1">"Z:\人時実績表会計月度\1998年7月度売上実績順.htm"</definedName>
    <definedName name="新組織３" hidden="1">"人時実績表　売上実績順"</definedName>
    <definedName name="新組織４" hidden="1">"1998年23週　売上実績順"</definedName>
    <definedName name="新組織５" hidden="1">""</definedName>
    <definedName name="新組織６" hidden="1">"98/07/30"</definedName>
    <definedName name="新組織７" hidden="1">"'[人時実績表ホームページ変換用（月間）.xls]人時実績'!$A$2:$AC$125"</definedName>
    <definedName name="新組織８" hidden="1">"Z:\人時実績表会計月度\1998年8月度人時実績表.htm"</definedName>
    <definedName name="新組織９" hidden="1">"人時実績表（会計月度）"</definedName>
    <definedName name="権限テーブル">[48]運転者管理!$R$3:$R$6</definedName>
    <definedName name="爱丽思1" hidden="1">255</definedName>
    <definedName name="粒状事業計画" hidden="1">#REF!</definedName>
    <definedName name="綾瀬研修スケジュール" hidden="1">{#N/A,#N/A,FALSE,"グラフ"}</definedName>
    <definedName name="薄炕桌盖被" hidden="1">'[49]13年度発生売上予算'!#REF!</definedName>
    <definedName name="計数計画ナフサ51000円">#REF!</definedName>
    <definedName name="計画" hidden="1">{"'表紙'!$A$1:$W$39"}</definedName>
    <definedName name="責任体制" hidden="1">{"'表紙'!$A$1:$W$39"}</definedName>
    <definedName name="達成方策" hidden="1">{#N/A,#N/A,TRUE,"月別販売計画Ａ";#N/A,#N/A,TRUE,"品種群別出荷量展開Ｂ";#N/A,#N/A,TRUE,"工場別出荷数量Ｃ";#N/A,#N/A,TRUE,"在庫指数計画Ｄ";#N/A,#N/A,TRUE,"月別生産計画Ｅ";#N/A,#N/A,TRUE,"生出在一覧  Ｆ";#N/A,#N/A,TRUE,"NewCRDトップ生産計画Ｇ";#N/A,#N/A,TRUE,"NewLSトップ生産計画Ｈ";#N/A,#N/A,TRUE,"NewCRD扉生産計画Ｉ";#N/A,#N/A,TRUE,"NewLS扉生産計画Ｊ"}</definedName>
    <definedName name="達成率コピー" hidden="1">#REF!</definedName>
    <definedName name="重点方策" hidden="1">{#N/A,#N/A,TRUE,"月別販売計画Ａ";#N/A,#N/A,TRUE,"品種群別出荷量展開Ｂ";#N/A,#N/A,TRUE,"工場別出荷数量Ｃ";#N/A,#N/A,TRUE,"在庫指数計画Ｄ";#N/A,#N/A,TRUE,"月別生産計画Ｅ";#N/A,#N/A,TRUE,"生出在一覧  Ｆ";#N/A,#N/A,TRUE,"NewCRDトップ生産計画Ｇ";#N/A,#N/A,TRUE,"NewLSトップ生産計画Ｈ";#N/A,#N/A,TRUE,"NewCRD扉生産計画Ｉ";#N/A,#N/A,TRUE,"NewLS扉生産計画Ｊ"}</definedName>
    <definedName name="鋼材" hidden="1">{#N/A,#N/A,TRUE,"月別販売計画Ａ";#N/A,#N/A,TRUE,"品種群別出荷量展開Ｂ";#N/A,#N/A,TRUE,"工場別出荷数量Ｃ";#N/A,#N/A,TRUE,"在庫指数計画Ｄ";#N/A,#N/A,TRUE,"月別生産計画Ｅ";#N/A,#N/A,TRUE,"生出在一覧  Ｆ";#N/A,#N/A,TRUE,"NewCRDトップ生産計画Ｇ";#N/A,#N/A,TRUE,"NewLSトップ生産計画Ｈ";#N/A,#N/A,TRUE,"NewCRD扉生産計画Ｉ";#N/A,#N/A,TRUE,"NewLS扉生産計画Ｊ"}</definedName>
    <definedName name="鋼材２" hidden="1">{#N/A,#N/A,TRUE,"月別販売計画Ａ";#N/A,#N/A,TRUE,"品種群別出荷量展開Ｂ";#N/A,#N/A,TRUE,"工場別出荷数量Ｃ";#N/A,#N/A,TRUE,"在庫指数計画Ｄ";#N/A,#N/A,TRUE,"月別生産計画Ｅ";#N/A,#N/A,TRUE,"生出在一覧  Ｆ";#N/A,#N/A,TRUE,"NewCRDトップ生産計画Ｇ";#N/A,#N/A,TRUE,"NewLSトップ生産計画Ｈ";#N/A,#N/A,TRUE,"NewCRD扉生産計画Ｉ";#N/A,#N/A,TRUE,"NewLS扉生産計画Ｊ"}</definedName>
    <definedName name="_xlnm._FilterDatabase" localSheetId="1" hidden="1">'詳細見積_マスタと予実比較'!$A$2:$P$27</definedName>
  </definedNames>
  <calcPr calcId="162913" fullCalcOnLoad="1" iterateDelta="0.0001"/>
</workbook>
</file>

<file path=xl/styles.xml><?xml version="1.0" encoding="utf-8"?>
<styleSheet xmlns="http://schemas.openxmlformats.org/spreadsheetml/2006/main">
  <numFmts count="4">
    <numFmt numFmtId="164" formatCode="&quot;¥&quot;#,##0;&quot;¥&quot;\-#,##0"/>
    <numFmt numFmtId="165" formatCode="&quot;¥&quot;#,##0;\-&quot;¥&quot;#,##0"/>
    <numFmt numFmtId="166" formatCode="0.00&quot;人&quot;&quot;月&quot;"/>
    <numFmt numFmtId="167" formatCode="&quot;¥&quot;#,##0;[Red]&quot;¥&quot;\-#,##0"/>
  </numFmts>
  <fonts count="16">
    <font>
      <name val="Calibri"/>
      <charset val="128"/>
      <family val="2"/>
      <color theme="1"/>
      <sz val="11"/>
      <scheme val="minor"/>
    </font>
    <font>
      <name val="Calibri"/>
      <charset val="128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Meiryo UI"/>
      <charset val="128"/>
      <family val="3"/>
      <b val="1"/>
      <color theme="1"/>
      <sz val="11"/>
    </font>
    <font>
      <name val="Meiryo UI"/>
      <charset val="128"/>
      <family val="3"/>
      <color theme="1"/>
      <sz val="11"/>
    </font>
    <font>
      <name val="Meiryo UI"/>
      <charset val="128"/>
      <family val="3"/>
      <b val="1"/>
      <color theme="0"/>
      <sz val="11"/>
    </font>
    <font>
      <name val="MS PGothic"/>
      <charset val="128"/>
      <family val="3"/>
      <color rgb="FF000000"/>
      <sz val="11"/>
    </font>
    <font>
      <name val="Calibri"/>
      <family val="2"/>
      <color theme="10"/>
      <sz val="11"/>
      <u val="single"/>
      <scheme val="minor"/>
    </font>
    <font>
      <name val="Meiryo UI"/>
      <charset val="128"/>
      <family val="2"/>
      <color theme="1"/>
      <sz val="11"/>
    </font>
    <font>
      <name val="Calibri"/>
      <charset val="128"/>
      <family val="2"/>
      <sz val="6"/>
      <scheme val="minor"/>
    </font>
    <font>
      <name val="Meiryo UI"/>
      <charset val="128"/>
      <family val="2"/>
      <b val="1"/>
      <color theme="1"/>
      <sz val="11"/>
    </font>
    <font>
      <name val="Calibri"/>
      <charset val="128"/>
      <family val="2"/>
      <color theme="10"/>
      <sz val="11"/>
      <u val="single"/>
      <scheme val="minor"/>
    </font>
    <font>
      <name val="Calibri"/>
      <charset val="128"/>
      <family val="2"/>
      <b val="1"/>
      <color theme="1"/>
      <sz val="11"/>
      <scheme val="minor"/>
    </font>
    <font>
      <name val="ＭＳ Ｐゴシック"/>
      <charset val="128"/>
      <family val="3"/>
      <sz val="11"/>
    </font>
    <font>
      <name val="Calibri"/>
      <charset val="128"/>
      <family val="3"/>
      <b val="1"/>
      <color theme="1"/>
      <sz val="11"/>
      <scheme val="minor"/>
    </font>
    <font>
      <name val="ＭＳ Ｐゴシック"/>
      <charset val="128"/>
      <family val="3"/>
      <sz val="9"/>
    </font>
  </fonts>
  <fills count="9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7">
    <xf numFmtId="0" fontId="1" fillId="0" borderId="0"/>
    <xf numFmtId="0" fontId="2" fillId="0" borderId="0"/>
    <xf numFmtId="0" fontId="1" fillId="0" borderId="0" applyAlignment="1">
      <alignment vertical="center"/>
    </xf>
    <xf numFmtId="0" fontId="6" fillId="0" borderId="0"/>
    <xf numFmtId="0" fontId="7" fillId="0" borderId="0"/>
    <xf numFmtId="0" fontId="1" fillId="0" borderId="0" applyAlignment="1">
      <alignment vertical="center"/>
    </xf>
    <xf numFmtId="0" fontId="1" fillId="0" borderId="0"/>
    <xf numFmtId="0" fontId="8" fillId="0" borderId="0" applyAlignment="1">
      <alignment vertical="center"/>
    </xf>
    <xf numFmtId="0" fontId="1" fillId="0" borderId="0" applyAlignment="1">
      <alignment vertical="center"/>
    </xf>
    <xf numFmtId="38" fontId="1" fillId="0" borderId="0" applyAlignment="1">
      <alignment vertical="center"/>
    </xf>
    <xf numFmtId="0" fontId="11" fillId="0" borderId="0" applyAlignment="1">
      <alignment vertical="center"/>
    </xf>
    <xf numFmtId="0" fontId="1" fillId="0" borderId="0" applyAlignment="1">
      <alignment vertical="center"/>
    </xf>
    <xf numFmtId="0" fontId="7" fillId="0" borderId="0"/>
    <xf numFmtId="0" fontId="13" fillId="0" borderId="0"/>
    <xf numFmtId="167" fontId="1" fillId="0" borderId="0" applyAlignment="1">
      <alignment vertical="center"/>
    </xf>
    <xf numFmtId="0" fontId="15" fillId="0" borderId="0"/>
    <xf numFmtId="38" fontId="15" fillId="0" borderId="0" applyAlignment="1">
      <alignment vertical="center"/>
    </xf>
  </cellStyleXfs>
  <cellXfs count="180">
    <xf numFmtId="0" fontId="0" fillId="0" borderId="0" pivotButton="0" quotePrefix="0" xfId="0"/>
    <xf numFmtId="0" fontId="4" fillId="0" borderId="0" pivotButton="0" quotePrefix="0" xfId="1"/>
    <xf numFmtId="164" fontId="4" fillId="0" borderId="1" pivotButton="0" quotePrefix="0" xfId="1"/>
    <xf numFmtId="0" fontId="4" fillId="3" borderId="1" applyAlignment="1" pivotButton="0" quotePrefix="0" xfId="1">
      <alignment vertical="center"/>
    </xf>
    <xf numFmtId="0" fontId="4" fillId="0" borderId="1" applyAlignment="1" pivotButton="0" quotePrefix="0" xfId="1">
      <alignment vertical="center"/>
    </xf>
    <xf numFmtId="2" fontId="4" fillId="0" borderId="1" applyAlignment="1" pivotButton="0" quotePrefix="0" xfId="1">
      <alignment vertical="center"/>
    </xf>
    <xf numFmtId="2" fontId="4" fillId="0" borderId="1" applyAlignment="1" pivotButton="0" quotePrefix="0" xfId="1">
      <alignment horizontal="center" vertical="center"/>
    </xf>
    <xf numFmtId="2" fontId="4" fillId="0" borderId="5" applyAlignment="1" pivotButton="0" quotePrefix="0" xfId="1">
      <alignment horizontal="right" vertical="center"/>
    </xf>
    <xf numFmtId="164" fontId="4" fillId="0" borderId="5" applyAlignment="1" pivotButton="0" quotePrefix="0" xfId="1">
      <alignment vertical="center"/>
    </xf>
    <xf numFmtId="2" fontId="3" fillId="3" borderId="5" applyAlignment="1" pivotButton="0" quotePrefix="0" xfId="1">
      <alignment horizontal="right" vertical="center"/>
    </xf>
    <xf numFmtId="2" fontId="4" fillId="3" borderId="1" applyAlignment="1" pivotButton="0" quotePrefix="0" xfId="1">
      <alignment vertical="center"/>
    </xf>
    <xf numFmtId="2" fontId="4" fillId="3" borderId="1" applyAlignment="1" pivotButton="0" quotePrefix="0" xfId="1">
      <alignment horizontal="center" vertical="center"/>
    </xf>
    <xf numFmtId="0" fontId="4" fillId="0" borderId="8" applyAlignment="1" pivotButton="0" quotePrefix="0" xfId="1">
      <alignment horizontal="left" vertical="center"/>
    </xf>
    <xf numFmtId="0" fontId="5" fillId="4" borderId="11" applyAlignment="1" pivotButton="0" quotePrefix="0" xfId="1">
      <alignment vertical="center"/>
    </xf>
    <xf numFmtId="2" fontId="5" fillId="4" borderId="12" applyAlignment="1" pivotButton="0" quotePrefix="0" xfId="1">
      <alignment horizontal="center" vertical="center"/>
    </xf>
    <xf numFmtId="0" fontId="4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horizontal="center" vertical="center"/>
    </xf>
    <xf numFmtId="2" fontId="4" fillId="0" borderId="0" applyAlignment="1" pivotButton="0" quotePrefix="0" xfId="1">
      <alignment horizontal="center" vertical="center"/>
    </xf>
    <xf numFmtId="0" fontId="4" fillId="5" borderId="0" pivotButton="0" quotePrefix="0" xfId="1"/>
    <xf numFmtId="0" fontId="4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horizontal="left" vertical="top" wrapText="1"/>
    </xf>
    <xf numFmtId="0" fontId="4" fillId="0" borderId="1" applyAlignment="1" pivotButton="0" quotePrefix="0" xfId="1">
      <alignment vertical="top" wrapText="1"/>
    </xf>
    <xf numFmtId="0" fontId="3" fillId="3" borderId="1" applyAlignment="1" pivotButton="0" quotePrefix="0" xfId="1">
      <alignment horizontal="left" vertical="center"/>
    </xf>
    <xf numFmtId="0" fontId="4" fillId="3" borderId="1" applyAlignment="1" pivotButton="0" quotePrefix="0" xfId="1">
      <alignment horizontal="center" vertical="center"/>
    </xf>
    <xf numFmtId="0" fontId="5" fillId="4" borderId="11" applyAlignment="1" pivotButton="0" quotePrefix="0" xfId="1">
      <alignment horizontal="center" vertical="center"/>
    </xf>
    <xf numFmtId="164" fontId="3" fillId="3" borderId="5" applyAlignment="1" pivotButton="0" quotePrefix="0" xfId="1">
      <alignment vertical="center"/>
    </xf>
    <xf numFmtId="165" fontId="5" fillId="4" borderId="12" applyAlignment="1" pivotButton="0" quotePrefix="0" xfId="1">
      <alignment horizontal="center" vertical="center"/>
    </xf>
    <xf numFmtId="0" fontId="4" fillId="0" borderId="0" applyAlignment="1" pivotButton="0" quotePrefix="0" xfId="1">
      <alignment horizontal="left" vertical="top"/>
    </xf>
    <xf numFmtId="0" fontId="4" fillId="3" borderId="1" applyAlignment="1" pivotButton="0" quotePrefix="0" xfId="1">
      <alignment horizontal="left" vertical="top" wrapText="1"/>
    </xf>
    <xf numFmtId="0" fontId="4" fillId="0" borderId="0" applyAlignment="1" pivotButton="0" quotePrefix="0" xfId="1">
      <alignment vertical="top" wrapText="1"/>
    </xf>
    <xf numFmtId="0" fontId="5" fillId="4" borderId="13" applyAlignment="1" pivotButton="0" quotePrefix="0" xfId="1">
      <alignment vertical="top" wrapText="1"/>
    </xf>
    <xf numFmtId="0" fontId="4" fillId="0" borderId="1" applyAlignment="1" pivotButton="0" quotePrefix="1" xfId="1">
      <alignment vertical="top" wrapText="1"/>
    </xf>
    <xf numFmtId="0" fontId="4" fillId="7" borderId="1" applyAlignment="1" pivotButton="0" quotePrefix="0" xfId="1">
      <alignment horizontal="center" vertical="center"/>
    </xf>
    <xf numFmtId="0" fontId="4" fillId="7" borderId="1" applyAlignment="1" pivotButton="0" quotePrefix="0" xfId="1">
      <alignment vertical="center"/>
    </xf>
    <xf numFmtId="2" fontId="4" fillId="7" borderId="1" applyAlignment="1" pivotButton="0" quotePrefix="0" xfId="1">
      <alignment vertical="center"/>
    </xf>
    <xf numFmtId="164" fontId="4" fillId="7" borderId="5" applyAlignment="1" pivotButton="0" quotePrefix="0" xfId="1">
      <alignment vertical="center"/>
    </xf>
    <xf numFmtId="0" fontId="4" fillId="7" borderId="1" applyAlignment="1" pivotButton="0" quotePrefix="1" xfId="1">
      <alignment vertical="top" wrapText="1"/>
    </xf>
    <xf numFmtId="0" fontId="4" fillId="6" borderId="0" pivotButton="0" quotePrefix="0" xfId="1"/>
    <xf numFmtId="0" fontId="3" fillId="2" borderId="2" applyAlignment="1" pivotButton="0" quotePrefix="0" xfId="1">
      <alignment horizontal="center" vertical="center"/>
    </xf>
    <xf numFmtId="0" fontId="3" fillId="2" borderId="0" applyAlignment="1" pivotButton="0" quotePrefix="0" xfId="1">
      <alignment horizontal="center" vertical="center"/>
    </xf>
    <xf numFmtId="0" fontId="4" fillId="0" borderId="10" applyAlignment="1" pivotButton="0" quotePrefix="0" xfId="1">
      <alignment horizontal="left" vertical="center"/>
    </xf>
    <xf numFmtId="0" fontId="1" fillId="0" borderId="1" pivotButton="0" quotePrefix="0" xfId="11"/>
    <xf numFmtId="0" fontId="12" fillId="0" borderId="19" pivotButton="0" quotePrefix="0" xfId="0"/>
    <xf numFmtId="0" fontId="12" fillId="0" borderId="20" pivotButton="0" quotePrefix="0" xfId="0"/>
    <xf numFmtId="0" fontId="12" fillId="0" borderId="20" pivotButton="0" quotePrefix="0" xfId="11"/>
    <xf numFmtId="0" fontId="3" fillId="0" borderId="20" applyAlignment="1" pivotButton="0" quotePrefix="0" xfId="1">
      <alignment horizontal="center" vertical="center"/>
    </xf>
    <xf numFmtId="0" fontId="3" fillId="0" borderId="21" applyAlignment="1" pivotButton="0" quotePrefix="0" xfId="1">
      <alignment horizontal="center" vertical="center"/>
    </xf>
    <xf numFmtId="0" fontId="14" fillId="8" borderId="16" pivotButton="0" quotePrefix="0" xfId="0"/>
    <xf numFmtId="0" fontId="14" fillId="8" borderId="22" pivotButton="0" quotePrefix="0" xfId="0"/>
    <xf numFmtId="38" fontId="14" fillId="0" borderId="24" pivotButton="0" quotePrefix="0" xfId="0"/>
    <xf numFmtId="38" fontId="14" fillId="0" borderId="25" pivotButton="0" quotePrefix="0" xfId="0"/>
    <xf numFmtId="38" fontId="14" fillId="0" borderId="26" pivotButton="0" quotePrefix="0" xfId="0"/>
    <xf numFmtId="0" fontId="4" fillId="0" borderId="1" applyAlignment="1" pivotButton="0" quotePrefix="0" xfId="1">
      <alignment vertical="top"/>
    </xf>
    <xf numFmtId="0" fontId="4" fillId="0" borderId="1" applyAlignment="1" pivotButton="0" quotePrefix="0" xfId="1">
      <alignment horizontal="left" vertical="top" wrapText="1"/>
    </xf>
    <xf numFmtId="2" fontId="4" fillId="0" borderId="1" applyAlignment="1" pivotButton="0" quotePrefix="0" xfId="1">
      <alignment vertical="center"/>
    </xf>
    <xf numFmtId="0" fontId="4" fillId="0" borderId="8" applyAlignment="1" pivotButton="0" quotePrefix="0" xfId="1">
      <alignment vertical="top"/>
    </xf>
    <xf numFmtId="0" fontId="3" fillId="2" borderId="6" applyAlignment="1" pivotButton="0" quotePrefix="0" xfId="1">
      <alignment horizontal="center" vertical="center"/>
    </xf>
    <xf numFmtId="0" fontId="4" fillId="0" borderId="9" pivotButton="0" quotePrefix="0" xfId="1"/>
    <xf numFmtId="0" fontId="4" fillId="0" borderId="10" applyAlignment="1" pivotButton="0" quotePrefix="0" xfId="1">
      <alignment horizontal="left" vertical="center"/>
    </xf>
    <xf numFmtId="0" fontId="4" fillId="0" borderId="8" applyAlignment="1" pivotButton="0" quotePrefix="0" xfId="1">
      <alignment horizontal="left" vertical="top" wrapText="1"/>
    </xf>
    <xf numFmtId="0" fontId="4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vertical="center"/>
    </xf>
    <xf numFmtId="2" fontId="4" fillId="0" borderId="1" applyAlignment="1" pivotButton="0" quotePrefix="0" xfId="1">
      <alignment horizontal="center" vertical="center"/>
    </xf>
    <xf numFmtId="2" fontId="4" fillId="0" borderId="5" applyAlignment="1" pivotButton="0" quotePrefix="0" xfId="1">
      <alignment horizontal="right" vertical="center"/>
    </xf>
    <xf numFmtId="164" fontId="4" fillId="0" borderId="5" applyAlignment="1" pivotButton="0" quotePrefix="0" xfId="1">
      <alignment vertical="center"/>
    </xf>
    <xf numFmtId="0" fontId="3" fillId="0" borderId="1" applyAlignment="1" pivotButton="0" quotePrefix="0" xfId="1">
      <alignment horizontal="center" vertical="center"/>
    </xf>
    <xf numFmtId="164" fontId="3" fillId="0" borderId="1" applyAlignment="1" pivotButton="0" quotePrefix="0" xfId="1">
      <alignment horizontal="center" vertical="center"/>
    </xf>
    <xf numFmtId="0" fontId="4" fillId="0" borderId="1" applyAlignment="1" pivotButton="0" quotePrefix="0" xfId="8">
      <alignment horizontal="left"/>
    </xf>
    <xf numFmtId="164" fontId="4" fillId="0" borderId="1" pivotButton="0" quotePrefix="0" xfId="8"/>
    <xf numFmtId="0" fontId="4" fillId="0" borderId="1" applyAlignment="1" pivotButton="0" quotePrefix="0" xfId="8">
      <alignment horizontal="left"/>
    </xf>
    <xf numFmtId="164" fontId="4" fillId="0" borderId="1" pivotButton="0" quotePrefix="0" xfId="8"/>
    <xf numFmtId="0" fontId="4" fillId="0" borderId="1" applyAlignment="1" pivotButton="0" quotePrefix="0" xfId="8">
      <alignment horizontal="left" vertical="center"/>
    </xf>
    <xf numFmtId="0" fontId="10" fillId="3" borderId="1" applyAlignment="1" pivotButton="0" quotePrefix="0" xfId="1">
      <alignment horizontal="left" vertical="top" wrapText="1"/>
    </xf>
    <xf numFmtId="0" fontId="10" fillId="3" borderId="1" applyAlignment="1" pivotButton="0" quotePrefix="0" xfId="1">
      <alignment horizontal="center" vertical="center"/>
    </xf>
    <xf numFmtId="0" fontId="10" fillId="3" borderId="1" applyAlignment="1" pivotButton="0" quotePrefix="0" xfId="1">
      <alignment vertical="center"/>
    </xf>
    <xf numFmtId="0" fontId="10" fillId="0" borderId="0" pivotButton="0" quotePrefix="0" xfId="1"/>
    <xf numFmtId="0" fontId="8" fillId="0" borderId="9" pivotButton="0" quotePrefix="0" xfId="1"/>
    <xf numFmtId="2" fontId="8" fillId="3" borderId="1" applyAlignment="1" pivotButton="0" quotePrefix="0" xfId="1">
      <alignment vertical="center"/>
    </xf>
    <xf numFmtId="164" fontId="8" fillId="3" borderId="5" applyAlignment="1" pivotButton="0" quotePrefix="0" xfId="1">
      <alignment vertical="center"/>
    </xf>
    <xf numFmtId="0" fontId="8" fillId="3" borderId="1" applyAlignment="1" pivotButton="0" quotePrefix="0" xfId="1">
      <alignment vertical="top" wrapText="1"/>
    </xf>
    <xf numFmtId="0" fontId="3" fillId="2" borderId="2" applyAlignment="1" pivotButton="0" quotePrefix="0" xfId="1">
      <alignment horizontal="center" vertical="center" wrapText="1"/>
    </xf>
    <xf numFmtId="0" fontId="3" fillId="2" borderId="7" applyAlignment="1" pivotButton="0" quotePrefix="0" xfId="1">
      <alignment horizontal="center" vertical="center" wrapText="1"/>
    </xf>
    <xf numFmtId="0" fontId="4" fillId="0" borderId="1" applyAlignment="1" pivotButton="0" quotePrefix="0" xfId="1">
      <alignment vertical="top" wrapText="1"/>
    </xf>
    <xf numFmtId="0" fontId="10" fillId="3" borderId="1" applyAlignment="1" pivotButton="0" quotePrefix="0" xfId="1">
      <alignment vertical="top" wrapText="1"/>
    </xf>
    <xf numFmtId="0" fontId="4" fillId="0" borderId="0" applyAlignment="1" pivotButton="0" quotePrefix="0" xfId="1">
      <alignment horizontal="left" vertical="top" wrapText="1"/>
    </xf>
    <xf numFmtId="0" fontId="4" fillId="3" borderId="8" applyAlignment="1" pivotButton="0" quotePrefix="0" xfId="1">
      <alignment vertical="top"/>
    </xf>
    <xf numFmtId="0" fontId="4" fillId="3" borderId="1" applyAlignment="1" pivotButton="0" quotePrefix="0" xfId="1">
      <alignment vertical="top"/>
    </xf>
    <xf numFmtId="0" fontId="4" fillId="0" borderId="1" applyAlignment="1" pivotButton="0" quotePrefix="0" xfId="1">
      <alignment vertical="top"/>
    </xf>
    <xf numFmtId="0" fontId="4" fillId="0" borderId="0" applyAlignment="1" pivotButton="0" quotePrefix="0" xfId="1">
      <alignment vertical="top"/>
    </xf>
    <xf numFmtId="2" fontId="4" fillId="0" borderId="1" applyAlignment="1" pivotButton="0" quotePrefix="0" xfId="1">
      <alignment horizontal="right" vertical="center"/>
    </xf>
    <xf numFmtId="166" fontId="4" fillId="5" borderId="0" applyAlignment="1" pivotButton="0" quotePrefix="0" xfId="1">
      <alignment horizontal="left" vertical="top" wrapText="1"/>
    </xf>
    <xf numFmtId="166" fontId="14" fillId="0" borderId="19" pivotButton="0" quotePrefix="0" xfId="0"/>
    <xf numFmtId="166" fontId="14" fillId="0" borderId="20" pivotButton="0" quotePrefix="0" xfId="0"/>
    <xf numFmtId="0" fontId="10" fillId="0" borderId="1" applyAlignment="1" pivotButton="0" quotePrefix="0" xfId="1">
      <alignment horizontal="left" vertical="center"/>
    </xf>
    <xf numFmtId="0" fontId="4" fillId="0" borderId="1" pivotButton="0" quotePrefix="0" xfId="1"/>
    <xf numFmtId="0" fontId="8" fillId="0" borderId="1" applyAlignment="1" pivotButton="0" quotePrefix="0" xfId="1">
      <alignment horizontal="left" vertical="center"/>
    </xf>
    <xf numFmtId="0" fontId="4" fillId="0" borderId="6" applyAlignment="1" pivotButton="0" quotePrefix="0" xfId="1">
      <alignment vertical="center"/>
    </xf>
    <xf numFmtId="2" fontId="4" fillId="0" borderId="6" applyAlignment="1" pivotButton="0" quotePrefix="0" xfId="1">
      <alignment vertical="center"/>
    </xf>
    <xf numFmtId="2" fontId="4" fillId="0" borderId="14" applyAlignment="1" pivotButton="0" quotePrefix="0" xfId="1">
      <alignment vertical="center"/>
    </xf>
    <xf numFmtId="164" fontId="4" fillId="0" borderId="14" applyAlignment="1" pivotButton="0" quotePrefix="0" xfId="1">
      <alignment vertical="center"/>
    </xf>
    <xf numFmtId="0" fontId="4" fillId="0" borderId="6" applyAlignment="1" pivotButton="0" quotePrefix="1" xfId="1">
      <alignment vertical="top" wrapText="1"/>
    </xf>
    <xf numFmtId="0" fontId="4" fillId="0" borderId="1" pivotButton="0" quotePrefix="0" xfId="1"/>
    <xf numFmtId="0" fontId="4" fillId="0" borderId="1" applyAlignment="1" pivotButton="0" quotePrefix="0" xfId="1">
      <alignment horizontal="left" vertical="center"/>
    </xf>
    <xf numFmtId="164" fontId="4" fillId="0" borderId="1" applyAlignment="1" pivotButton="0" quotePrefix="0" xfId="1">
      <alignment vertical="center"/>
    </xf>
    <xf numFmtId="0" fontId="10" fillId="3" borderId="8" applyAlignment="1" pivotButton="0" quotePrefix="0" xfId="1">
      <alignment vertical="top" wrapText="1"/>
    </xf>
    <xf numFmtId="0" fontId="10" fillId="3" borderId="8" applyAlignment="1" pivotButton="0" quotePrefix="0" xfId="1">
      <alignment horizontal="left" vertical="top" wrapText="1"/>
    </xf>
    <xf numFmtId="0" fontId="10" fillId="3" borderId="8" applyAlignment="1" pivotButton="0" quotePrefix="0" xfId="1">
      <alignment horizontal="center" vertical="center"/>
    </xf>
    <xf numFmtId="0" fontId="10" fillId="3" borderId="8" applyAlignment="1" pivotButton="0" quotePrefix="0" xfId="1">
      <alignment vertical="center"/>
    </xf>
    <xf numFmtId="2" fontId="8" fillId="3" borderId="8" applyAlignment="1" pivotButton="0" quotePrefix="0" xfId="1">
      <alignment vertical="center"/>
    </xf>
    <xf numFmtId="164" fontId="8" fillId="3" borderId="15" applyAlignment="1" pivotButton="0" quotePrefix="0" xfId="1">
      <alignment vertical="center"/>
    </xf>
    <xf numFmtId="0" fontId="8" fillId="3" borderId="8" applyAlignment="1" pivotButton="0" quotePrefix="0" xfId="1">
      <alignment vertical="top" wrapText="1"/>
    </xf>
    <xf numFmtId="2" fontId="4" fillId="0" borderId="5" applyAlignment="1" pivotButton="0" quotePrefix="0" xfId="1">
      <alignment horizontal="right" vertical="center" wrapText="1"/>
    </xf>
    <xf numFmtId="0" fontId="4" fillId="0" borderId="10" applyAlignment="1" pivotButton="0" quotePrefix="0" xfId="1">
      <alignment vertical="top"/>
    </xf>
    <xf numFmtId="0" fontId="4" fillId="0" borderId="6" applyAlignment="1" pivotButton="0" quotePrefix="0" xfId="1">
      <alignment horizontal="left" vertical="top" wrapText="1"/>
    </xf>
    <xf numFmtId="0" fontId="4" fillId="0" borderId="6" applyAlignment="1" pivotButton="0" quotePrefix="0" xfId="1">
      <alignment horizontal="center" vertical="center"/>
    </xf>
    <xf numFmtId="2" fontId="4" fillId="0" borderId="6" applyAlignment="1" pivotButton="0" quotePrefix="0" xfId="1">
      <alignment horizontal="center" vertical="center"/>
    </xf>
    <xf numFmtId="2" fontId="4" fillId="0" borderId="14" applyAlignment="1" pivotButton="0" quotePrefix="0" xfId="1">
      <alignment horizontal="right" vertical="center"/>
    </xf>
    <xf numFmtId="0" fontId="10" fillId="3" borderId="3" applyAlignment="1" pivotButton="0" quotePrefix="0" xfId="1">
      <alignment horizontal="left" vertical="center"/>
    </xf>
    <xf numFmtId="0" fontId="4" fillId="3" borderId="5" applyAlignment="1" pivotButton="0" quotePrefix="0" xfId="1">
      <alignment vertical="top"/>
    </xf>
    <xf numFmtId="0" fontId="4" fillId="3" borderId="5" applyAlignment="1" pivotButton="0" quotePrefix="0" xfId="1">
      <alignment horizontal="left" vertical="top" wrapText="1"/>
    </xf>
    <xf numFmtId="164" fontId="4" fillId="3" borderId="1" applyAlignment="1" pivotButton="0" quotePrefix="0" xfId="1">
      <alignment vertical="center"/>
    </xf>
    <xf numFmtId="0" fontId="4" fillId="0" borderId="8" applyAlignment="1" pivotButton="0" quotePrefix="1" xfId="1">
      <alignment horizontal="left" vertical="top" wrapText="1"/>
    </xf>
    <xf numFmtId="0" fontId="4" fillId="0" borderId="8" applyAlignment="1" pivotButton="0" quotePrefix="0" xfId="1">
      <alignment horizontal="center" vertical="center"/>
    </xf>
    <xf numFmtId="0" fontId="4" fillId="0" borderId="8" applyAlignment="1" pivotButton="0" quotePrefix="0" xfId="1">
      <alignment vertical="center"/>
    </xf>
    <xf numFmtId="2" fontId="4" fillId="0" borderId="8" applyAlignment="1" pivotButton="0" quotePrefix="0" xfId="1">
      <alignment vertical="center"/>
    </xf>
    <xf numFmtId="2" fontId="4" fillId="0" borderId="8" applyAlignment="1" pivotButton="0" quotePrefix="0" xfId="1">
      <alignment horizontal="center" vertical="center"/>
    </xf>
    <xf numFmtId="2" fontId="4" fillId="0" borderId="15" applyAlignment="1" pivotButton="0" quotePrefix="0" xfId="1">
      <alignment horizontal="right" vertical="center"/>
    </xf>
    <xf numFmtId="164" fontId="4" fillId="0" borderId="15" applyAlignment="1" pivotButton="0" quotePrefix="0" xfId="1">
      <alignment vertical="center"/>
    </xf>
    <xf numFmtId="0" fontId="8" fillId="0" borderId="1" applyAlignment="1" pivotButton="0" quotePrefix="0" xfId="1">
      <alignment horizontal="left" vertical="center" wrapText="1"/>
    </xf>
    <xf numFmtId="0" fontId="1" fillId="0" borderId="23" applyAlignment="1" pivotButton="0" quotePrefix="0" xfId="11">
      <alignment horizontal="center"/>
    </xf>
    <xf numFmtId="0" fontId="1" fillId="0" borderId="17" applyAlignment="1" pivotButton="0" quotePrefix="0" xfId="11">
      <alignment horizontal="center"/>
    </xf>
    <xf numFmtId="0" fontId="1" fillId="0" borderId="18" applyAlignment="1" pivotButton="0" quotePrefix="0" xfId="11">
      <alignment horizontal="center"/>
    </xf>
    <xf numFmtId="0" fontId="5" fillId="4" borderId="11" applyAlignment="1" pivotButton="0" quotePrefix="0" xfId="1">
      <alignment horizontal="center" vertical="top" wrapText="1"/>
    </xf>
    <xf numFmtId="0" fontId="4" fillId="0" borderId="1" applyAlignment="1" pivotButton="0" quotePrefix="0" xfId="1">
      <alignment horizontal="left" vertical="top"/>
    </xf>
    <xf numFmtId="0" fontId="3" fillId="2" borderId="6" applyAlignment="1" pivotButton="0" quotePrefix="0" xfId="1">
      <alignment horizontal="center" vertical="top" wrapText="1"/>
    </xf>
    <xf numFmtId="0" fontId="3" fillId="2" borderId="8" applyAlignment="1" pivotButton="0" quotePrefix="0" xfId="1">
      <alignment horizontal="center" vertical="top" wrapText="1"/>
    </xf>
    <xf numFmtId="0" fontId="10" fillId="7" borderId="1" applyAlignment="1" pivotButton="0" quotePrefix="0" xfId="1">
      <alignment horizontal="left" vertical="center"/>
    </xf>
    <xf numFmtId="0" fontId="10" fillId="3" borderId="1" applyAlignment="1" pivotButton="0" quotePrefix="0" xfId="1">
      <alignment horizontal="left" vertical="center"/>
    </xf>
    <xf numFmtId="0" fontId="10" fillId="3" borderId="8" applyAlignment="1" pivotButton="0" quotePrefix="0" xfId="1">
      <alignment horizontal="left" vertical="center"/>
    </xf>
    <xf numFmtId="0" fontId="3" fillId="2" borderId="1" applyAlignment="1" pivotButton="0" quotePrefix="0" xfId="1">
      <alignment horizontal="center" vertical="center"/>
    </xf>
    <xf numFmtId="0" fontId="3" fillId="2" borderId="6" applyAlignment="1" pivotButton="0" quotePrefix="0" xfId="1">
      <alignment horizontal="center" vertical="center"/>
    </xf>
    <xf numFmtId="164" fontId="3" fillId="2" borderId="3" applyAlignment="1" pivotButton="0" quotePrefix="0" xfId="1">
      <alignment horizontal="center" vertical="center"/>
    </xf>
    <xf numFmtId="164" fontId="3" fillId="2" borderId="4" applyAlignment="1" pivotButton="0" quotePrefix="0" xfId="1">
      <alignment horizontal="center" vertical="center"/>
    </xf>
    <xf numFmtId="164" fontId="3" fillId="2" borderId="5" applyAlignment="1" pivotButton="0" quotePrefix="0" xfId="1">
      <alignment horizontal="center" vertical="center"/>
    </xf>
    <xf numFmtId="164" fontId="3" fillId="2" borderId="6" applyAlignment="1" pivotButton="0" quotePrefix="0" xfId="1">
      <alignment horizontal="center" vertical="center" wrapText="1"/>
    </xf>
    <xf numFmtId="164" fontId="3" fillId="2" borderId="8" applyAlignment="1" pivotButton="0" quotePrefix="0" xfId="1">
      <alignment horizontal="center" vertical="center"/>
    </xf>
    <xf numFmtId="0" fontId="3" fillId="2" borderId="6" applyAlignment="1" pivotButton="0" quotePrefix="0" xfId="1">
      <alignment horizontal="center" vertical="top"/>
    </xf>
    <xf numFmtId="0" fontId="3" fillId="2" borderId="8" applyAlignment="1" pivotButton="0" quotePrefix="0" xfId="1">
      <alignment horizontal="center" vertical="top"/>
    </xf>
    <xf numFmtId="0" fontId="3" fillId="2" borderId="14" applyAlignment="1" pivotButton="0" quotePrefix="0" xfId="1">
      <alignment horizontal="center" vertical="center" wrapText="1"/>
    </xf>
    <xf numFmtId="0" fontId="3" fillId="2" borderId="15" applyAlignment="1" pivotButton="0" quotePrefix="0" xfId="1">
      <alignment horizontal="center" vertical="center" wrapText="1"/>
    </xf>
    <xf numFmtId="0" fontId="3" fillId="2" borderId="8" applyAlignment="1" pivotButton="0" quotePrefix="0" xfId="1">
      <alignment horizontal="center" vertical="center"/>
    </xf>
    <xf numFmtId="166" fontId="14" fillId="0" borderId="19" pivotButton="0" quotePrefix="0" xfId="0"/>
    <xf numFmtId="166" fontId="14" fillId="0" borderId="20" pivotButton="0" quotePrefix="0" xfId="0"/>
    <xf numFmtId="0" fontId="1" fillId="0" borderId="21" applyAlignment="1" pivotButton="0" quotePrefix="0" xfId="11">
      <alignment horizontal="center"/>
    </xf>
    <xf numFmtId="0" fontId="0" fillId="0" borderId="27" pivotButton="0" quotePrefix="0" xfId="0"/>
    <xf numFmtId="0" fontId="0" fillId="0" borderId="18" pivotButton="0" quotePrefix="0" xfId="0"/>
    <xf numFmtId="0" fontId="3" fillId="2" borderId="1" applyAlignment="1" pivotButton="0" quotePrefix="0" xfId="1">
      <alignment horizontal="center" vertical="top"/>
    </xf>
    <xf numFmtId="0" fontId="3" fillId="2" borderId="5" applyAlignment="1" pivotButton="0" quotePrefix="0" xfId="1">
      <alignment horizontal="center" vertical="center" wrapText="1"/>
    </xf>
    <xf numFmtId="164" fontId="3" fillId="2" borderId="1" applyAlignment="1" pivotButton="0" quotePrefix="0" xfId="1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3" fillId="2" borderId="1" applyAlignment="1" pivotButton="0" quotePrefix="0" xfId="1">
      <alignment horizontal="center" vertical="center" wrapText="1"/>
    </xf>
    <xf numFmtId="0" fontId="3" fillId="2" borderId="1" applyAlignment="1" pivotButton="0" quotePrefix="0" xfId="1">
      <alignment horizontal="center" vertical="top" wrapText="1"/>
    </xf>
    <xf numFmtId="164" fontId="3" fillId="0" borderId="1" applyAlignment="1" pivotButton="0" quotePrefix="0" xfId="1">
      <alignment horizontal="center" vertical="center"/>
    </xf>
    <xf numFmtId="0" fontId="0" fillId="0" borderId="8" pivotButton="0" quotePrefix="0" xfId="0"/>
    <xf numFmtId="0" fontId="0" fillId="0" borderId="15" pivotButton="0" quotePrefix="0" xfId="0"/>
    <xf numFmtId="164" fontId="4" fillId="0" borderId="1" pivotButton="0" quotePrefix="0" xfId="8"/>
    <xf numFmtId="164" fontId="4" fillId="7" borderId="5" applyAlignment="1" pivotButton="0" quotePrefix="0" xfId="1">
      <alignment vertical="center"/>
    </xf>
    <xf numFmtId="164" fontId="4" fillId="0" borderId="14" applyAlignment="1" pivotButton="0" quotePrefix="0" xfId="1">
      <alignment vertical="center"/>
    </xf>
    <xf numFmtId="164" fontId="4" fillId="0" borderId="1" applyAlignment="1" pivotButton="0" quotePrefix="0" xfId="1">
      <alignment vertical="center"/>
    </xf>
    <xf numFmtId="164" fontId="8" fillId="3" borderId="15" applyAlignment="1" pivotButton="0" quotePrefix="0" xfId="1">
      <alignment vertical="center"/>
    </xf>
    <xf numFmtId="164" fontId="4" fillId="0" borderId="5" applyAlignment="1" pivotButton="0" quotePrefix="0" xfId="1">
      <alignment vertical="center"/>
    </xf>
    <xf numFmtId="164" fontId="4" fillId="3" borderId="1" applyAlignment="1" pivotButton="0" quotePrefix="0" xfId="1">
      <alignment vertical="center"/>
    </xf>
    <xf numFmtId="164" fontId="4" fillId="0" borderId="15" applyAlignment="1" pivotButton="0" quotePrefix="0" xfId="1">
      <alignment vertical="center"/>
    </xf>
    <xf numFmtId="164" fontId="8" fillId="3" borderId="5" applyAlignment="1" pivotButton="0" quotePrefix="0" xfId="1">
      <alignment vertical="center"/>
    </xf>
    <xf numFmtId="164" fontId="3" fillId="3" borderId="5" applyAlignment="1" pivotButton="0" quotePrefix="0" xfId="1">
      <alignment vertical="center"/>
    </xf>
    <xf numFmtId="0" fontId="0" fillId="0" borderId="11" pivotButton="0" quotePrefix="0" xfId="0"/>
    <xf numFmtId="165" fontId="5" fillId="4" borderId="12" applyAlignment="1" pivotButton="0" quotePrefix="0" xfId="1">
      <alignment horizontal="center" vertical="center"/>
    </xf>
    <xf numFmtId="166" fontId="4" fillId="5" borderId="0" applyAlignment="1" pivotButton="0" quotePrefix="0" xfId="1">
      <alignment horizontal="left" vertical="top" wrapText="1"/>
    </xf>
    <xf numFmtId="164" fontId="4" fillId="0" borderId="1" pivotButton="0" quotePrefix="0" xfId="1"/>
  </cellXfs>
  <cellStyles count="17">
    <cellStyle name="Normal" xfId="0" builtinId="0"/>
    <cellStyle name="Normal 2" xfId="1"/>
    <cellStyle name="Normal 3" xfId="2"/>
    <cellStyle name="標準 3" xfId="3"/>
    <cellStyle name="Hyperlink 2" xfId="4"/>
    <cellStyle name="標準 2" xfId="5"/>
    <cellStyle name="Normal 2 2" xfId="6"/>
    <cellStyle name="Normal 4" xfId="7"/>
    <cellStyle name="Normal 2 3" xfId="8"/>
    <cellStyle name="Comma [0] 2" xfId="9"/>
    <cellStyle name="Hyperlink 2 2" xfId="10"/>
    <cellStyle name="標準 4" xfId="11"/>
    <cellStyle name="ハイパーリンク 2" xfId="12"/>
    <cellStyle name="標準 2 2" xfId="13"/>
    <cellStyle name="通貨 2" xfId="14"/>
    <cellStyle name="Normal 5" xfId="15"/>
    <cellStyle name="Comma [0] 3" xfId="1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externalLink" Target="/xl/externalLinks/externalLink2.xml" Id="rId4" /><Relationship Type="http://schemas.openxmlformats.org/officeDocument/2006/relationships/externalLink" Target="/xl/externalLinks/externalLink3.xml" Id="rId5" /><Relationship Type="http://schemas.openxmlformats.org/officeDocument/2006/relationships/externalLink" Target="/xl/externalLinks/externalLink4.xml" Id="rId6" /><Relationship Type="http://schemas.openxmlformats.org/officeDocument/2006/relationships/externalLink" Target="/xl/externalLinks/externalLink5.xml" Id="rId7" /><Relationship Type="http://schemas.openxmlformats.org/officeDocument/2006/relationships/externalLink" Target="/xl/externalLinks/externalLink6.xml" Id="rId8" /><Relationship Type="http://schemas.openxmlformats.org/officeDocument/2006/relationships/externalLink" Target="/xl/externalLinks/externalLink7.xml" Id="rId9" /><Relationship Type="http://schemas.openxmlformats.org/officeDocument/2006/relationships/externalLink" Target="/xl/externalLinks/externalLink8.xml" Id="rId10" /><Relationship Type="http://schemas.openxmlformats.org/officeDocument/2006/relationships/externalLink" Target="/xl/externalLinks/externalLink9.xml" Id="rId11" /><Relationship Type="http://schemas.openxmlformats.org/officeDocument/2006/relationships/externalLink" Target="/xl/externalLinks/externalLink10.xml" Id="rId12" /><Relationship Type="http://schemas.openxmlformats.org/officeDocument/2006/relationships/externalLink" Target="/xl/externalLinks/externalLink11.xml" Id="rId13" /><Relationship Type="http://schemas.openxmlformats.org/officeDocument/2006/relationships/externalLink" Target="/xl/externalLinks/externalLink12.xml" Id="rId14" /><Relationship Type="http://schemas.openxmlformats.org/officeDocument/2006/relationships/externalLink" Target="/xl/externalLinks/externalLink13.xml" Id="rId15" /><Relationship Type="http://schemas.openxmlformats.org/officeDocument/2006/relationships/externalLink" Target="/xl/externalLinks/externalLink14.xml" Id="rId16" /><Relationship Type="http://schemas.openxmlformats.org/officeDocument/2006/relationships/externalLink" Target="/xl/externalLinks/externalLink15.xml" Id="rId17" /><Relationship Type="http://schemas.openxmlformats.org/officeDocument/2006/relationships/externalLink" Target="/xl/externalLinks/externalLink16.xml" Id="rId18" /><Relationship Type="http://schemas.openxmlformats.org/officeDocument/2006/relationships/externalLink" Target="/xl/externalLinks/externalLink17.xml" Id="rId19" /><Relationship Type="http://schemas.openxmlformats.org/officeDocument/2006/relationships/externalLink" Target="/xl/externalLinks/externalLink18.xml" Id="rId20" /><Relationship Type="http://schemas.openxmlformats.org/officeDocument/2006/relationships/externalLink" Target="/xl/externalLinks/externalLink19.xml" Id="rId21" /><Relationship Type="http://schemas.openxmlformats.org/officeDocument/2006/relationships/externalLink" Target="/xl/externalLinks/externalLink20.xml" Id="rId22" /><Relationship Type="http://schemas.openxmlformats.org/officeDocument/2006/relationships/externalLink" Target="/xl/externalLinks/externalLink21.xml" Id="rId23" /><Relationship Type="http://schemas.openxmlformats.org/officeDocument/2006/relationships/externalLink" Target="/xl/externalLinks/externalLink22.xml" Id="rId24" /><Relationship Type="http://schemas.openxmlformats.org/officeDocument/2006/relationships/externalLink" Target="/xl/externalLinks/externalLink23.xml" Id="rId25" /><Relationship Type="http://schemas.openxmlformats.org/officeDocument/2006/relationships/externalLink" Target="/xl/externalLinks/externalLink24.xml" Id="rId26" /><Relationship Type="http://schemas.openxmlformats.org/officeDocument/2006/relationships/externalLink" Target="/xl/externalLinks/externalLink25.xml" Id="rId27" /><Relationship Type="http://schemas.openxmlformats.org/officeDocument/2006/relationships/externalLink" Target="/xl/externalLinks/externalLink26.xml" Id="rId28" /><Relationship Type="http://schemas.openxmlformats.org/officeDocument/2006/relationships/externalLink" Target="/xl/externalLinks/externalLink27.xml" Id="rId29" /><Relationship Type="http://schemas.openxmlformats.org/officeDocument/2006/relationships/externalLink" Target="/xl/externalLinks/externalLink28.xml" Id="rId30" /><Relationship Type="http://schemas.openxmlformats.org/officeDocument/2006/relationships/externalLink" Target="/xl/externalLinks/externalLink29.xml" Id="rId31" /><Relationship Type="http://schemas.openxmlformats.org/officeDocument/2006/relationships/externalLink" Target="/xl/externalLinks/externalLink30.xml" Id="rId32" /><Relationship Type="http://schemas.openxmlformats.org/officeDocument/2006/relationships/externalLink" Target="/xl/externalLinks/externalLink31.xml" Id="rId33" /><Relationship Type="http://schemas.openxmlformats.org/officeDocument/2006/relationships/externalLink" Target="/xl/externalLinks/externalLink32.xml" Id="rId34" /><Relationship Type="http://schemas.openxmlformats.org/officeDocument/2006/relationships/externalLink" Target="/xl/externalLinks/externalLink33.xml" Id="rId35" /><Relationship Type="http://schemas.openxmlformats.org/officeDocument/2006/relationships/externalLink" Target="/xl/externalLinks/externalLink34.xml" Id="rId36" /><Relationship Type="http://schemas.openxmlformats.org/officeDocument/2006/relationships/externalLink" Target="/xl/externalLinks/externalLink35.xml" Id="rId37" /><Relationship Type="http://schemas.openxmlformats.org/officeDocument/2006/relationships/externalLink" Target="/xl/externalLinks/externalLink36.xml" Id="rId38" /><Relationship Type="http://schemas.openxmlformats.org/officeDocument/2006/relationships/externalLink" Target="/xl/externalLinks/externalLink37.xml" Id="rId39" /><Relationship Type="http://schemas.openxmlformats.org/officeDocument/2006/relationships/externalLink" Target="/xl/externalLinks/externalLink38.xml" Id="rId40" /><Relationship Type="http://schemas.openxmlformats.org/officeDocument/2006/relationships/externalLink" Target="/xl/externalLinks/externalLink39.xml" Id="rId41" /><Relationship Type="http://schemas.openxmlformats.org/officeDocument/2006/relationships/externalLink" Target="/xl/externalLinks/externalLink40.xml" Id="rId42" /><Relationship Type="http://schemas.openxmlformats.org/officeDocument/2006/relationships/externalLink" Target="/xl/externalLinks/externalLink41.xml" Id="rId43" /><Relationship Type="http://schemas.openxmlformats.org/officeDocument/2006/relationships/externalLink" Target="/xl/externalLinks/externalLink42.xml" Id="rId44" /><Relationship Type="http://schemas.openxmlformats.org/officeDocument/2006/relationships/externalLink" Target="/xl/externalLinks/externalLink43.xml" Id="rId45" /><Relationship Type="http://schemas.openxmlformats.org/officeDocument/2006/relationships/externalLink" Target="/xl/externalLinks/externalLink44.xml" Id="rId46" /><Relationship Type="http://schemas.openxmlformats.org/officeDocument/2006/relationships/externalLink" Target="/xl/externalLinks/externalLink45.xml" Id="rId47" /><Relationship Type="http://schemas.openxmlformats.org/officeDocument/2006/relationships/externalLink" Target="/xl/externalLinks/externalLink46.xml" Id="rId48" /><Relationship Type="http://schemas.openxmlformats.org/officeDocument/2006/relationships/externalLink" Target="/xl/externalLinks/externalLink47.xml" Id="rId49" /><Relationship Type="http://schemas.openxmlformats.org/officeDocument/2006/relationships/externalLink" Target="/xl/externalLinks/externalLink48.xml" Id="rId50" /><Relationship Type="http://schemas.openxmlformats.org/officeDocument/2006/relationships/externalLink" Target="/xl/externalLinks/externalLink49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Lha110\&#65418;&#65439;&#65416;&#65433;\TLC&#20107;&#26989;&#32113;&#36676;&#37096;\&#20385;&#26684;&#35373;&#23450;\&#26032;&#21830;&#21697;&#26045;&#24037;&#20385;&#26684;&#35373;&#23450;&#12398;&#22522;&#28310;&#26360;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vr453\&#29983;&#29987;&#31649;&#29702;\Documents%20and%20Settings\c27853\My%20Documents\&#12493;&#12483;&#12488;&#36023;&#29289;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IS96S1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://1.10.11.25/09&#24180;&#24230;/ENDO/&#27963;&#21205;&#32080;&#26524;/&#22865;&#32004;&#65400;&#65438;&#65431;&#65420;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Svr504\&#12503;&#12524;&#12476;&#12531;&#12486;&#12540;&#12471;&#12519;&#12531;&#29992;&#20849;&#26377;&#12501;&#12457;&#12523;&#12480;\Documents%20and%20Settings\Administrator\Local%20Settings\Temporary%20Internet%20Files\Content.IE5\6JW3XAVU\h13&#20104;&#31639;&#36039;&#26009;\&#30330;&#29983;&#22770;&#19978;\&#36913;&#21029;&#20104;&#31639;\010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nas003\&#65320;&#65317;\DAT\RD9508V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A:\DAT\RD9508V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Svr508\&#24037;&#22580;mv&#36039;&#26009;\My%20Documents\&#20013;&#26449;\&#65316;&#65313;&#65332;&#65313;\data3\&#12502;&#12483;&#12461;&#12531;&#12464;\2000&#24180;%20&#26149;NEW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Svr507\hj\&#26412;&#31038;\&#38283;&#30330;&#36948;&#25104;\DAT\RD9508V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Svr002\user\&#20849;&#26377;\&#12411;&#12397;&#12459;&#12523;&#35519;&#25972;\&#12411;&#12397;&#12459;&#12523;&#35519;&#25972;\0420&#12507;&#12493;&#12459;&#12523;SIM%20(1)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C1653\my%20documents\&#20849;&#26377;\&#65420;&#65387;&#65392;&#65423;&#65391;&#65412;\9812\9811\9810\SD9709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Svr508\&#24037;&#22580;mv&#36039;&#26009;\My%20Documents\&#20013;&#26449;\&#65316;&#65313;&#65332;&#65313;\data3\&#12502;&#12483;&#12461;&#12531;&#12464;\00&#65420;&#65438;&#65391;&#65399;&#65437;&#65400;&#65438;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Svr502\&#21830;&#21697;&#38283;&#30330;LED\&#21830;&#21697;&#24773;&#22577;\&#12304;V&#12305;&#12509;&#12540;&#12481;&#28783;&#12289;&#28020;&#23460;&#28783;\&#12304;02&#12305;&#32294;&#22411;&#12509;&#12540;&#12481;&#28783;\&#35430;&#31639;\&#12304;&#36009;&#22770;&#35336;&#30011;&#26360;&#12305;&#32294;&#22411;&#12509;&#12540;&#12481;&#28783;)150330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vr500\d\DAT\RD9508V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nas003\marketing\&#12510;&#12540;&#12465;&#12486;&#12451;&#12531;&#12464;&#37096;\&#20840;&#31038;\(F)&#20840;&#20307;&#65313;&#65328;&#20250;&#35696;\2011&#24180;&#22577;&#21578;\12&#26376;\&#36039;&#26009;\&#65420;&#65439;&#65431;&#65437;&#65413;&#65392;\&#22312;&#24235;1&#65367;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&#21830;&#21697;\JPN\&#24067;&#22243;\&#31435;&#19978;&#36039;&#26009;\&#31435;&#19978;&#36039;&#26009;\Documents%20and%20Settings\Administrator\Local%20Settings\Temporary%20Internet%20Files\Content.IE5\6JW3XAVU\h13&#20104;&#31639;&#36039;&#26009;\&#30330;&#29983;&#22770;&#19978;\&#36913;&#21029;&#20104;&#31639;\010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C1240\&#20849;&#26377;\&#12395;&#12387;&#12367;&#12395;\&#9734;&#65420;&#65387;&#65392;&#65423;&#65391;&#65412;\9812\9811\9810\SD9709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C1277\c1277\&#36817;&#34276;%20%20&#36020;&#20043;\&#65420;&#65387;&#65392;&#65423;&#65391;&#65412;\IS96S1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\\C0382\&#65418;&#65392;&#65412;&#65438;&#65411;&#65438;&#65384;&#65405;&#65400;\&#20182;&#37096;&#32626;&#26360;&#12365;&#36796;&#12415;\&#65423;&#65392;&#65401;&#25552;&#20986;&#36039;&#26009;\9809&#65400;&#65438;&#65431;&#65420;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C1188\c\&#26412;&#31038;\&#38283;&#30330;&#36948;&#25104;\DAT\RD9508V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svr503\TV\&#21830;&#21697;\JPN\&#24067;&#22243;\&#31435;&#19978;&#36039;&#26009;\&#31435;&#19978;&#36039;&#26009;\Documents%20and%20Settings\Administrator\Local%20Settings\Temporary%20Internet%20Files\Content.IE5\6JW3XAVU\h13&#20104;&#31639;&#36039;&#26009;\&#30330;&#29983;&#22770;&#19978;\&#36913;&#21029;&#20104;&#31639;\010.xls" TargetMode="External" Id="rId1" 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\\&#26412;&#31038;&#12469;&#12540;&#12496;&#12540;\(&#26666;)&#12458;&#12540;&#12516;&#12510;\%20&#20304;&#34276;&#12398;&#65420;&#65387;&#65433;&#65408;&#65438;\&#34920;\&#65432;&#65392;&#65412;&#65438;&#65408;&#65394;&#65425;&#19968;&#35239;\Book2.xls" TargetMode="External" Id="rId1" 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\\nas003\marketing\&#12510;&#12540;&#12465;&#12486;&#12451;&#12531;&#12464;&#37096;\&#21454;&#32013;\(E)&#20385;&#26684;&#34920;\A&#65431;&#65437;&#65400;\11&#24180;\&#20184;&#21152;&#12394;&#12375;\110414_&#21454;&#32013;&#12452;&#12531;&#12486;&#12522;&#12450;&#65288;&#20184;&#21152;&#12394;&#12375;&#65289;.xls" TargetMode="External" Id="rId1" 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\\SVR150\&#36001;&#21209;&#20849;&#29992;\&#38936;&#21454;&#35388;\&#38936;&#21454;&#26360;.xls" TargetMode="External" Id="rId1" 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\\Svr500\D\&#12510;&#12540;&#12465;&#12486;&#12451;&#12531;&#12464;&#37096;\&#12506;&#12483;&#12488;\(B-1)&#65421;&#65439;&#65391;&#65412;&#23455;&#32318;&#65411;&#65438;&#65392;&#65408;\&#9679;&#23455;&#32318;&#65405;&#65412;&#65398;&#65418;&#65438;\2004&#24180;\&#9312;04&#12471;&#12540;&#12484;.xls" TargetMode="External" Id="rId1" 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\\Svr507\hj\&#26412;&#31038;\&#38283;&#30330;&#36948;&#25104;\IS96S1.XLS" TargetMode="External" Id="rId1" 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\\Qcfmv-02\c\My%20Documents\&#38651;&#35441;&#20998;&#26512;9709.xls" TargetMode="External" Id="rId1" 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\\Nas003\tv\HE%20MT\20150424\&#29031;&#26126;\&#9733;&#12304;&#21407;&#20385;&#25552;&#26696;&#12305;&#23567;&#22411;&#12471;&#12540;&#12522;&#12531;&#12464;20150406.xlsx" TargetMode="External" Id="rId1" 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\\Svr500\d\&#12510;&#12540;&#12465;&#12486;&#12451;&#12531;&#12464;&#37096;\&#12506;&#12483;&#12488;&#12391;&#12365;&#12383;&#12418;&#12435;!\(B-1)&#65421;&#65439;&#65391;&#65412;&#23455;&#32318;&#65411;&#65438;&#65392;&#65408;\&#9679;&#23455;&#32318;&#65405;&#65412;&#65398;&#65418;&#65438;\&#12512;&#12484;&#12468;&#12525;&#12454;&#19977;&#26399;&#12464;&#12521;&#12501;.xls" TargetMode="External" Id="rId1" 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\\Svr504\Users\j02055\Desktop\&#37096;&#26448;&#21336;&#20385;&#20837;&#21147;&#20381;&#38972;)&#30452;&#31649;HE140&#12289;160)&#23791;&#30000;).xls" TargetMode="External" Id="rId1" 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\\Svr002\user\&#20225;&#30011;&#37096;\&#12358;&#12376;&#12507;&#12523;&#12480;&#12540;\&#22312;&#24235;&#65404;&#65424;&#65389;&#65434;&#65392;&#65404;&#65390;&#65437;\USER\SATO\SAVE\&#65398;&#65392;&#65405;&#65401;W.XLS" TargetMode="External" Id="rId1" 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\\C1144\&#65421;&#65439;&#65391;&#65412;&#20840;&#36039;&#26009;\My%20Documents\21&#65367;.xls" TargetMode="External" Id="rId1" 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\\003file\Project\Documents%20and%20Settings\minekawa\My%20Documents\&#24773;&#22577;&#31995;&#12464;&#12523;&#12540;&#12503;\&#21942;&#26989;&#25968;&#20516;&#12481;&#12540;&#12512;\&#22522;&#26412;&#21830;&#21697;&#20998;&#26512;\&#35373;&#35336;\&#34920;&#31034;&#38917;&#30446;_&#22522;&#26412;&#21830;&#21697;&#20998;&#26512;.xls" TargetMode="External" Id="rId1" 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file:///\\C1277\c1277\&#36817;&#34276;%20%20&#36020;&#20043;\&#65420;&#65387;&#65392;&#65423;&#65391;&#65412;\DAT\RD9508V.XLS" TargetMode="External" Id="rId1" 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\\Svr502\&#12503;&#12524;&#12476;&#12531;&#12486;&#12540;&#12471;&#12519;&#12531;&#29992;&#20849;&#26377;&#12501;&#12457;&#12523;&#12480;\Documents%20and%20Settings\j04538\&#12487;&#12473;&#12463;&#12488;&#12483;&#12503;\&#12467;&#12500;&#12540;&#12304;&#37325;&#35201;&#12305;&#29031;&#26126;&#12420;&#12368;&#12425;&#36914;&#25431;&#22577;&#21578;.xls" TargetMode="External" Id="rId1" 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\\nas003\&#12507;&#12540;&#12512;\Users\j01741\AppData\Local\Temp\B2Temp\Attach\&#12487;&#12473;&#12463;&#12488;&#12483;&#12503;\&#12510;&#12473;&#12463;&#24773;&#22577;\&#31292;&#20685;&#29575;\31w&#12304;&#22577;&#36899;&#30456;&#12305;2014&#24180;&#12510;&#12473;&#12463;&#29983;&#29987;&#35336;&#30011;.xls" TargetMode="External" Id="rId1" 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\\nas003\&#65320;&#65317;\DOCUME~1\j07201\LOCALS~1\Temp\B2Temp\Attach\&#26032;&#35215;Microsoft%20Office%20Excel%2097-2003%20&#12527;&#12540;&#12463;&#12471;&#12540;&#12488;.xls" TargetMode="External" Id="rId1" 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\\SVR150\&#36001;&#21209;&#20849;&#29992;\&#20234;&#26481;\&#12381;&#12398;&#20182;\&#19982;&#20449;&#20250;&#35696;&#36039;&#26009;.xls" TargetMode="External" Id="rId1" 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file:///\\nas003\&#65320;&#65317;\DOCUME~1\j04538\LOCALS~1\Temp\B2Temp\Attach\&#9679;&#38651;&#29699;&#12481;&#12515;&#12531;&#12473;&#12525;&#12473;&#25552;&#26696;.xls" TargetMode="External" Id="rId1" 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file:///\\C1144\c\My%20Documents\&#12377;&#12366;&#12358;&#12425;\&#65299;&#26399;Gurafui&#12363;&#12388;&#12390;.xls" TargetMode="External" Id="rId1" /></Relationships>
</file>

<file path=xl/externalLinks/_rels/externalLink41.xml.rels><Relationships xmlns="http://schemas.openxmlformats.org/package/2006/relationships"><Relationship Type="http://schemas.openxmlformats.org/officeDocument/2006/relationships/externalLinkPath" Target="file:///\\Nas003\MARKETING\&#20225;&#30011;&#37096;\&#65327;&#65331;&#23721;&#26412;\&#12496;&#12483;&#12463;&#12450;&#12483;&#12503;(OS&#23721;&#26412;&#65289;\&#31649;&#29702;&#34920;\&#33258;&#31038;&#12506;&#12483;&#12488;\97&#25104;&#24418;C.XLS" TargetMode="External" Id="rId1" /></Relationships>
</file>

<file path=xl/externalLinks/_rels/externalLink42.xml.rels><Relationships xmlns="http://schemas.openxmlformats.org/package/2006/relationships"><Relationship Type="http://schemas.openxmlformats.org/officeDocument/2006/relationships/externalLinkPath" Target="file:///\\nas052\&#12513;&#12540;&#12459;&#12540;\&#12458;&#12501;&#12451;&#12473;&#31649;&#29702;\&#20491;&#20154;&#29992;&#12501;&#12457;&#12523;&#12480;\&#20304;&#34276;(&#25958;)\&#26376;&#27425;&#20250;&#35696;&#36039;&#26009;\2015\&#12304;2&#26376;&#12305;&#26376;&#27425;&#36039;&#26009;\&#12304;2015&#24180;3&#26376;&#24230;&#26376;&#27425;&#20250;&#35696;&#12305;&#35373;&#35336;&#12481;&#12540;&#12512;&#22770;&#19978;&#23455;&#32318;&amp;&#12464;&#12521;&#12501;_0305.xls" TargetMode="External" Id="rId1" /></Relationships>
</file>

<file path=xl/externalLinks/_rels/externalLink43.xml.rels><Relationships xmlns="http://schemas.openxmlformats.org/package/2006/relationships"><Relationship Type="http://schemas.openxmlformats.org/officeDocument/2006/relationships/externalLinkPath" Target="file:///\\C3227\&#22528;&#31859;\&#26412;&#37111;\&#65406;&#65437;&#65408;&#65392;&#36027;&#26410;&#25173;&#31649;&#29702;&#34920;\&#12475;&#12531;&#12479;&#12540;&#36027;.xls" TargetMode="External" Id="rId1" /></Relationships>
</file>

<file path=xl/externalLinks/_rels/externalLink44.xml.rels><Relationships xmlns="http://schemas.openxmlformats.org/package/2006/relationships"><Relationship Type="http://schemas.openxmlformats.org/officeDocument/2006/relationships/externalLinkPath" Target="file:///\\Svr500\d\&#12510;&#12540;&#12465;&#12486;&#12451;&#12531;&#12464;&#37096;\&#12460;&#12540;&#12487;&#12531;\(B-1)&#65398;&#65438;&#65392;&#65411;&#65438;&#65437;&#23455;&#32318;&#65411;&#65438;&#65392;&#65408;\'02&#23455;&#32318;\&#23455;&#32318;&#65405;&#65412;&#65398;&#65418;&#65438;\g0211w.xls" TargetMode="External" Id="rId1" /></Relationships>
</file>

<file path=xl/externalLinks/_rels/externalLink45.xml.rels><Relationships xmlns="http://schemas.openxmlformats.org/package/2006/relationships"><Relationship Type="http://schemas.openxmlformats.org/officeDocument/2006/relationships/externalLinkPath" Target="file:///\\Svr500\D\Documents%20and%20Settings\j02234.DOM001\My%20Documents\&#20633;&#21697;.xls" TargetMode="External" Id="rId1" /></Relationships>
</file>

<file path=xl/externalLinks/_rels/externalLink46.xml.rels><Relationships xmlns="http://schemas.openxmlformats.org/package/2006/relationships"><Relationship Type="http://schemas.openxmlformats.org/officeDocument/2006/relationships/externalLinkPath" Target="file:///H:\&#26412;&#31038;\&#38283;&#30330;&#36948;&#25104;\DAT\RD9508V.XLS" TargetMode="External" Id="rId1" /></Relationships>
</file>

<file path=xl/externalLinks/_rels/externalLink47.xml.rels><Relationships xmlns="http://schemas.openxmlformats.org/package/2006/relationships"><Relationship Type="http://schemas.openxmlformats.org/officeDocument/2006/relationships/externalLinkPath" Target="file:///\\nas027\Z\&#20154;&#21729;&#31649;&#29702;\&#37096;&#38272;&#20154;&#21729;&#34920;\2010\2009\2008\keiri\yuriko&#8594;%20yamakawa\YURIKO\&#36062;&#19982;&#24341;&#24403;\&#36062;&#19982;&#24341;&#24403;2002.xls" TargetMode="External" Id="rId1" /></Relationships>
</file>

<file path=xl/externalLinks/_rels/externalLink48.xml.rels><Relationships xmlns="http://schemas.openxmlformats.org/package/2006/relationships"><Relationship Type="http://schemas.openxmlformats.org/officeDocument/2006/relationships/externalLinkPath" Target="file:///\\10.95.101.31\&#20303;&#21830;\Users\yiwai_bp\Documents\&#12450;&#12523;&#12467;&#12540;&#12523;&#12481;&#12455;&#12483;&#12459;&#12540;\Ph3_5&#26376;\&#12450;&#12452;&#12522;&#12473;&#12458;&#12540;&#12516;&#12510;_&#12450;&#12523;&#12467;&#12540;&#12523;&#12481;&#12455;&#12483;&#12459;&#12540;_Ph3&#38283;&#30330;(5&#26376;)_&#35430;&#39443;&#20181;&#27096;&#26360;&#20860;&#35430;&#39443;&#22577;&#21578;&#26360;_v1.0.xlsx" TargetMode="External" Id="rId1" /></Relationships>
</file>

<file path=xl/externalLinks/_rels/externalLink49.xml.rels><Relationships xmlns="http://schemas.openxmlformats.org/package/2006/relationships"><Relationship Type="http://schemas.openxmlformats.org/officeDocument/2006/relationships/externalLinkPath" Target="file:///\\Svr504\&#12503;&#12524;&#12476;&#12531;&#12486;&#12540;&#12471;&#12519;&#12531;&#29992;&#20849;&#26377;&#12501;&#12457;&#12523;&#12480;\h13&#20104;&#31639;&#36039;&#26009;\&#30330;&#29983;&#22770;&#19978;\&#36913;&#21029;&#20104;&#31639;\010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表紙"/>
      <sheetName val="着工シェア"/>
      <sheetName val="生人台帳"/>
      <sheetName val="フラグ"/>
      <sheetName val="参）種別リスト"/>
      <sheetName val="対象内容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RD9501V"/>
      <sheetName val="#REF"/>
      <sheetName val="RD9505A"/>
      <sheetName val="0310"/>
      <sheetName val="IV&amp;PL"/>
      <sheetName val="昨対"/>
      <sheetName val="SKU_31"/>
      <sheetName val="ネット買物"/>
      <sheetName val="ｱｲﾘｽ倉庫面積分"/>
      <sheetName val="■日本向け売上実績"/>
      <sheetName val="■USA向け売上実績"/>
      <sheetName val="■発展向け売上実績"/>
      <sheetName val="表3"/>
      <sheetName val="図8"/>
      <sheetName val="更新版"/>
      <sheetName val="NEW95G2"/>
      <sheetName val="科目名称"/>
      <sheetName val="基本情况1"/>
      <sheetName val="年度申报表"/>
      <sheetName val="补亏表"/>
      <sheetName val="技术开发费"/>
      <sheetName val="预交所得税"/>
      <sheetName val="计算表"/>
      <sheetName val="国产设备"/>
      <sheetName val="shere"/>
      <sheetName val="全合計"/>
      <sheetName val="Plan sbA"/>
      <sheetName val="GSV目標"/>
      <sheetName val="与信一覧 (2)"/>
    </sheetNames>
    <sheetDataSet>
      <sheetData sheetId="0">
        <row r="1">
          <cell r="A1" t="str">
            <v>ネット買物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#REF"/>
      <sheetName val="SPアプレポ"/>
      <sheetName val="SP商品特徴"/>
      <sheetName val="KTB-23"/>
      <sheetName val="商品特徴"/>
      <sheetName val="転倒防止棒"/>
      <sheetName val="見積"/>
      <sheetName val="耐震バーAP"/>
      <sheetName val="新商品耐震バー"/>
      <sheetName val="#REF!"/>
      <sheetName val="６月方向性 "/>
      <sheetName val="６月店舗 "/>
      <sheetName val="チャレンジ"/>
      <sheetName val="○こだわりDIY"/>
      <sheetName val="○こだわりHK"/>
      <sheetName val="○こだわりEL"/>
      <sheetName val="ライン傾向と対策 "/>
      <sheetName val="利益貢献度（ＤＩＹ）"/>
      <sheetName val="利益貢献度（ＨＫ）"/>
      <sheetName val="利益貢献度（ＥＬ）"/>
      <sheetName val="上位クラス "/>
      <sheetName val="上位単品 "/>
      <sheetName val="RD9501V"/>
      <sheetName val="★月報告format"/>
      <sheetName val="損益"/>
      <sheetName val="①-全社"/>
      <sheetName val="①-ｾﾞﾈﾗﾙ開発"/>
      <sheetName val="①-ｴﾝｼﾞﾆｱ開発"/>
      <sheetName val="★4月報告①"/>
      <sheetName val="★4月報告②"/>
      <sheetName val="【●非表示】開発合算"/>
      <sheetName val="【●非表示】ｾﾞ岸"/>
      <sheetName val="【●非表示】ｾﾞ小野寺"/>
      <sheetName val="【●非表示】ｾﾞ木谷"/>
      <sheetName val="【●非表示】ｾﾞ小栗"/>
      <sheetName val="【●非表示】ｾﾞﾈﾗﾙその他"/>
      <sheetName val="【●非表示】ｴ耕平"/>
      <sheetName val="【●非表示】ｴ高石"/>
      <sheetName val="【●非表示】ｴ原"/>
      <sheetName val="【●非表示】LED開発P"/>
      <sheetName val="【●非表示】ｴﾝｼﾞﾆｱその他"/>
      <sheetName val="【●非表示】ｸﾞﾛｰﾊﾞﾙ"/>
      <sheetName val="AP(ｴﾝｼﾞﾆｱ)①"/>
      <sheetName val="AP(ｴﾝｼﾞﾆｱ)②"/>
      <sheetName val="AP(ｾﾞﾈﾗﾙ)①"/>
      <sheetName val="AP(ｾﾞﾈﾗﾙ)②"/>
      <sheetName val="▲①-収納ｲﾝﾃ"/>
      <sheetName val="▲①-ﾍﾟｯﾄ"/>
      <sheetName val="▲①-園芸植物"/>
      <sheetName val="▲①-ﾎｰﾑ"/>
      <sheetName val="▲①-HO"/>
      <sheetName val="▲①-HE"/>
      <sheetName val="▲①-資材"/>
      <sheetName val="▲①-LED"/>
      <sheetName val="【●非表示】店舗什器事業部"/>
      <sheetName val="【●非表示】内装家具事業部"/>
      <sheetName val="【●非表示】ｼﾝﾌﾟﾙｽﾀｲﾙ事業部"/>
      <sheetName val="▲②-全社"/>
      <sheetName val="▲②-収納・ｲﾝﾃﾘｱ"/>
      <sheetName val="▲②-ﾍﾟｯﾄ"/>
      <sheetName val="▲②-園芸・植物"/>
      <sheetName val="▲②-ﾎｰﾑ"/>
      <sheetName val="▲②-HO"/>
      <sheetName val="▲②-HE"/>
      <sheetName val="▲②-資材"/>
      <sheetName val="▲②-LED"/>
      <sheetName val="PAK6263"/>
      <sheetName val="元 (2)"/>
      <sheetName val="６月方向性_"/>
      <sheetName val="６月店舗_"/>
      <sheetName val="ライン傾向と対策_"/>
      <sheetName val="上位クラス_"/>
      <sheetName val="上位単品_"/>
      <sheetName val="元_(2)"/>
      <sheetName val="⑤弁当"/>
      <sheetName val="全合計"/>
      <sheetName val="商品"/>
      <sheetName val="NEW95G2"/>
      <sheetName val="13年度発生売上予算"/>
      <sheetName val="43"/>
      <sheetName val="１業種"/>
      <sheetName val="Control"/>
      <sheetName val="Sheet1"/>
      <sheetName val="Sheet2"/>
      <sheetName val="生人台帳"/>
      <sheetName val="情報ﾘｽﾄ"/>
      <sheetName val="LIST"/>
      <sheetName val="与信一覧 (2)"/>
      <sheetName val="HQ"/>
      <sheetName val="昨対"/>
      <sheetName val="IS96S1"/>
      <sheetName val="ﾊｰﾄﾞ①【全データ】"/>
      <sheetName val="表3"/>
      <sheetName val="更新版"/>
      <sheetName val="竹四つ目垣"/>
      <sheetName val="1"/>
      <sheetName val="ｻｰｷｭﾚｰﾀｰ"/>
      <sheetName val="ﾗﾐﾈｰﾀｰ"/>
      <sheetName val="シュレッダー"/>
      <sheetName val="高圧洗浄機"/>
      <sheetName val="スチームクリーナー"/>
      <sheetName val="扇風機"/>
      <sheetName val="住所録"/>
      <sheetName val="SBプラ鉢"/>
      <sheetName val="提供用EXCEL"/>
      <sheetName val="Ｃ’表"/>
      <sheetName val="宛名"/>
      <sheetName val="ｵｰﾀﾞｰ"/>
      <sheetName val="F-ポジショニングＭＰ "/>
      <sheetName val="６月方向性_1"/>
      <sheetName val="６月店舗_1"/>
      <sheetName val="ライン傾向と対策_1"/>
      <sheetName val="上位クラス_1"/>
      <sheetName val="上位単品_1"/>
      <sheetName val="元_(2)1"/>
      <sheetName val="与信一覧_(2)"/>
      <sheetName val="一覧表"/>
      <sheetName val="5月"/>
      <sheetName val="RD9505A"/>
      <sheetName val="52wG部門ﾗﾝｷﾝｸﾞ"/>
      <sheetName val="部門別計画表"/>
      <sheetName val="ﾁﾗｼ"/>
      <sheetName val="ﾁﾗｼ枚数"/>
      <sheetName val="形材部品マスター"/>
      <sheetName val="着工シェア"/>
      <sheetName val="表紙"/>
      <sheetName val="地域 CD"/>
      <sheetName val="６月方向性_2"/>
      <sheetName val="６月店舗_2"/>
      <sheetName val="ライン傾向と対策_2"/>
      <sheetName val="上位クラス_2"/>
      <sheetName val="上位単品_2"/>
      <sheetName val="元_(2)2"/>
      <sheetName val="与信一覧_(2)1"/>
      <sheetName val="F-ポジショニングＭＰ_"/>
      <sheetName val="_REF"/>
      <sheetName val="回答電話番号リスト"/>
      <sheetName val="店長週報"/>
      <sheetName val="ｷﾞﾌﾄ・ﾃﾅﾝﾄ除く"/>
      <sheetName val="GSV目標"/>
      <sheetName val="管理引当"/>
      <sheetName val="図8"/>
      <sheetName val="外注トライ"/>
      <sheetName val="原価提案書"/>
      <sheetName val="NCC-2"/>
      <sheetName val="NCC-5"/>
      <sheetName val="NCC-11"/>
      <sheetName val="NCC-17"/>
      <sheetName val="ケチャップ有り"/>
      <sheetName val="商品台帳"/>
      <sheetName val="A"/>
      <sheetName val="大型店版"/>
      <sheetName val="HA実販"/>
      <sheetName val="ｱｸｾｽｸﾞﾗﾌ"/>
      <sheetName val="単価明細①"/>
      <sheetName val="６月方向性_3"/>
      <sheetName val="６月店舗_3"/>
      <sheetName val="ライン傾向と対策_3"/>
      <sheetName val="上位クラス_3"/>
      <sheetName val="上位単品_3"/>
      <sheetName val="元_(2)3"/>
      <sheetName val="与信一覧_(2)2"/>
      <sheetName val="F-ポジショニングＭＰ_1"/>
      <sheetName val="地域_CD"/>
      <sheetName val="御見積書"/>
      <sheetName val="大_中項目"/>
      <sheetName val="LEDグラフ"/>
      <sheetName val="03月入力用"/>
      <sheetName val="ﾌﾟﾚｾﾞﾝ資"/>
      <sheetName val="◎_OL10他業務用酒販店（ｾｸﾞD除き）"/>
      <sheetName val="野菜1"/>
      <sheetName val="Ｃ’’表"/>
      <sheetName val="para"/>
      <sheetName val="DATA"/>
      <sheetName val="検査結果一覧(日本受入)"/>
      <sheetName val="契約上棟ｸﾞﾗﾌ"/>
      <sheetName val="営業所８"/>
      <sheetName val="Ｐ１５"/>
      <sheetName val="Ｃ実績①"/>
      <sheetName val="企画書"/>
      <sheetName val="推移表（品種別）"/>
      <sheetName val="エリア別既存"/>
      <sheetName val="６月方向性_4"/>
      <sheetName val="６月店舗_4"/>
      <sheetName val="ライン傾向と対策_4"/>
      <sheetName val="上位クラス_4"/>
      <sheetName val="上位単品_4"/>
      <sheetName val="元_(2)4"/>
      <sheetName val="与信一覧_(2)3"/>
      <sheetName val="F-ポジショニングＭＰ_2"/>
      <sheetName val="地域_CD1"/>
      <sheetName val="比較ヘッダー"/>
      <sheetName val="直送ｺﾝﾃﾅ管理表"/>
      <sheetName val="在庫"/>
      <sheetName val="HE(他）"/>
      <sheetName val="バックデータ"/>
      <sheetName val="店在一覧"/>
      <sheetName val="提案書"/>
      <sheetName val="Ｗｅｂｱﾝｹｰﾄ①"/>
      <sheetName val="Ｗｅｂｱﾝｹｰﾄ②"/>
      <sheetName val="ﾊｰﾄﾞｵﾌｨｽ価格表"/>
      <sheetName val="将来に仕掛ける"/>
      <sheetName val="Aセット"/>
      <sheetName val="Bセット"/>
      <sheetName val="売り場"/>
      <sheetName val="ｽｹｼﾞｭｰﾙ表"/>
      <sheetName val="MS計画"/>
      <sheetName val="質問"/>
      <sheetName val="価格とセット販売"/>
      <sheetName val="IS96S1.XLS"/>
      <sheetName val="全国"/>
      <sheetName val="コード表"/>
      <sheetName val="研修コード表"/>
      <sheetName val="参加人数集計"/>
      <sheetName val="リスト"/>
      <sheetName val="P1実績①"/>
      <sheetName val="振替２(１月)"/>
      <sheetName val="ﾃﾞｰﾀ"/>
      <sheetName val="処理済"/>
      <sheetName val="領収書"/>
      <sheetName val="編集用シート"/>
      <sheetName val="shere"/>
      <sheetName val="POP製作Ｂ"/>
      <sheetName val="PＯＰ制作Ａ新"/>
      <sheetName val="データ入力"/>
      <sheetName val="損益計画"/>
      <sheetName val="生産計画"/>
      <sheetName val="全件リスト"/>
      <sheetName val="ＩＨコンロ鍋セット "/>
      <sheetName val="ﾃﾚｺTｼｬﾂ"/>
      <sheetName val="11wG部門ﾗﾝｷﾝｸﾞ"/>
      <sheetName val="2000LISTｔｒｕｅ 1117"/>
      <sheetName val="管理引当金"/>
      <sheetName val="ﾄﾞｯﾄｺﾑ"/>
      <sheetName val="値上下管理表値上用・原紙・手"/>
      <sheetName val="値上下管理表値下用・原紙・手"/>
      <sheetName val="値上用"/>
      <sheetName val="値下用"/>
      <sheetName val="Sheet3"/>
      <sheetName val="⑤優先順位表"/>
      <sheetName val="新Ｍ別"/>
      <sheetName val="Table_G"/>
      <sheetName val="H9.1"/>
      <sheetName val="数値 (婦人)"/>
      <sheetName val="H9_1"/>
      <sheetName val="数値_(婦人)"/>
      <sheetName val="商品ｺｰﾄﾞ一覧"/>
      <sheetName val="FeCr"/>
      <sheetName val="統計"/>
      <sheetName val="富田貼"/>
      <sheetName val="園芸一覧"/>
      <sheetName val="メニュー【数量】 第二事業部"/>
      <sheetName val="ラベル表"/>
      <sheetName val="ｱﾐｸﾚｰﾑ"/>
      <sheetName val="Plan sbA"/>
      <sheetName val="IV&amp;PL"/>
      <sheetName val="実績・予測"/>
      <sheetName val="コルポックス"/>
      <sheetName val="D"/>
      <sheetName val="配送ﾊﾟﾀｰﾝ表"/>
      <sheetName val="人口移動第４表"/>
      <sheetName val="WE800200"/>
      <sheetName val="●キャンペーン・企画ヒアリング"/>
      <sheetName val="CM予定表(～2012年3月）"/>
      <sheetName val="ﾆﾚ机"/>
      <sheetName val="社外秘；HCﾋﾞｼﾞﾈｽﾁｬﾝｽ"/>
      <sheetName val="SKU_31"/>
      <sheetName val="入力"/>
      <sheetName val="仕様変更進捗（ＡＬＬ）"/>
      <sheetName val="支給品一覧表"/>
      <sheetName val="Config"/>
      <sheetName val="00Sheet1"/>
      <sheetName val="全社按分比  "/>
      <sheetName val="ｸﾚｰﾑ報告書作成について"/>
      <sheetName val="第２章 1.食料品消費支出2"/>
      <sheetName val="harima"/>
      <sheetName val="sugi"/>
      <sheetName val="損盕"/>
      <sheetName val="NST (4)"/>
      <sheetName val="2000LISTｔｒｕｅ_1117"/>
      <sheetName val="全社按分比__"/>
      <sheetName val="IS96S1_XLS"/>
      <sheetName val="H9_11"/>
      <sheetName val="数値_(婦人)1"/>
      <sheetName val="メニュー【数量】_第二事業部"/>
      <sheetName val="Plan_sbA"/>
      <sheetName val="第２章_1_食料品消費支出2"/>
      <sheetName val="対象製品"/>
      <sheetName val="明細書"/>
      <sheetName val="2000LISTｔｒｕｅ_11171"/>
      <sheetName val="全社按分比__1"/>
      <sheetName val="IS96S1_XLS1"/>
      <sheetName val="H9_12"/>
      <sheetName val="数値_(婦人)2"/>
      <sheetName val="メニュー【数量】_第二事業部1"/>
      <sheetName val="Plan_sbA1"/>
      <sheetName val="第２章_1_食料品消費支出21"/>
      <sheetName val="011101"/>
      <sheetName val="46WG部門ﾗﾝｷﾝｸﾞ"/>
      <sheetName val="POS Data"/>
      <sheetName val="10.20-11.12"/>
      <sheetName val="ﾊﾟﾗｿﾙ2段"/>
      <sheetName val="POS_Data"/>
      <sheetName val="冷やして"/>
      <sheetName val="99下111G"/>
      <sheetName val="設定"/>
      <sheetName val="Sheet1 (2)"/>
      <sheetName val="提出用EXCEL"/>
      <sheetName val="サマリ"/>
      <sheetName val="POS_Data1"/>
      <sheetName val="10_20-11_12"/>
      <sheetName val="BAB"/>
      <sheetName val="一般用ｶﾃｺﾞﾘｰ別 "/>
      <sheetName val="ＧＭＳ"/>
      <sheetName val="OS"/>
      <sheetName val="3_hashihara48"/>
      <sheetName val="印鑑捺印ﾏｸﾛ"/>
      <sheetName val="単価は最低納価使用"/>
      <sheetName val="SDT"/>
      <sheetName val="DT"/>
      <sheetName val="配荷"/>
      <sheetName val="履歴一覧"/>
      <sheetName val="好調不調"/>
      <sheetName val="目次"/>
      <sheetName val="重点商品ＡＰ(調理家電) "/>
      <sheetName val="新商品比率ｸﾞﾗﾌ"/>
      <sheetName val="EXCEL_DATA"/>
      <sheetName val="猫砂（紙）正"/>
      <sheetName val="0530入金"/>
      <sheetName val="クレジット決済"/>
      <sheetName val="Ｃ'表"/>
      <sheetName val="⑧-2ﾊﾟﾀｰﾝ別店舗一覧"/>
      <sheetName val="H12春_1"/>
      <sheetName val="万田酵素モニター"/>
      <sheetName val="Ｃ’’’’表"/>
      <sheetName val="販促ｽｹｼﾞｭｰﾙ"/>
      <sheetName val="売上速報19973"/>
      <sheetName val="Wﾁｪｯｸ表"/>
      <sheetName val="与信管理帳合"/>
      <sheetName val="（ジャパ抜き ）16年事業計画 (案)"/>
      <sheetName val="鳥栖"/>
      <sheetName val="商品ﾏｽﾀｰ(1月25日)"/>
      <sheetName val="売上(衣)"/>
      <sheetName val="０５３合計"/>
      <sheetName val="行楽ﾌｪｱ"/>
      <sheetName val="新ﾗｲﾝ(部品展開)"/>
      <sheetName val="ｲﾎﾞ竹販売数調整"/>
      <sheetName val="生データ"/>
      <sheetName val="　月次報告（数値データ）　"/>
      <sheetName val="ラックEXPO"/>
      <sheetName val="決裁条件・ルート変更"/>
      <sheetName val="Sheet1_(2)"/>
      <sheetName val="週別主力商品(婦人)"/>
      <sheetName val="通常発注書"/>
      <sheetName val="H9_13"/>
      <sheetName val="数値_(婦人)3"/>
      <sheetName val="Plan_sbA2"/>
      <sheetName val="メニュー【数量】_第二事業部2"/>
      <sheetName val="2000LISTｔｒｕｅ_11172"/>
      <sheetName val="Sheet1_(2)1"/>
      <sheetName val="業態"/>
      <sheetName val="イオンＷＳドリンク剤"/>
      <sheetName val="大正ドリンク剤"/>
      <sheetName val="田辺ドリンク剤"/>
      <sheetName val="DPTﾃ-ﾌﾞﾙ"/>
      <sheetName val="事業部"/>
      <sheetName val=""/>
      <sheetName val="dis00"/>
      <sheetName val="dis01"/>
      <sheetName val="味の素フェア"/>
      <sheetName val="全件反映リスト"/>
      <sheetName val="ﾒﾝﾃ"/>
      <sheetName val="8以上社員"/>
      <sheetName val="明細"/>
      <sheetName val="経費FMT 管理科目"/>
      <sheetName val="POP-YMDMH-ARI040930-1"/>
      <sheetName val="【全データ】"/>
      <sheetName val="For Hier template"/>
      <sheetName val="比較表"/>
      <sheetName val="板資材(M)"/>
      <sheetName val="241"/>
      <sheetName val="入金実96"/>
      <sheetName val="ST障害管理表"/>
      <sheetName val="ｽﾀｰﾄﾎﾞﾀﾝ"/>
      <sheetName val="①品名・梱包入力"/>
      <sheetName val="データ貼付け"/>
      <sheetName val="価格表"/>
      <sheetName val="月末"/>
      <sheetName val="４５週"/>
      <sheetName val="SC入替"/>
      <sheetName val="規格書"/>
      <sheetName val="0372176-9B貼付"/>
      <sheetName val="番組ﾏｽﾀｰ"/>
      <sheetName val="QG貼付"/>
      <sheetName val="数値計画（売場分類）"/>
      <sheetName val="平台商品計画"/>
      <sheetName val="データ保存"/>
      <sheetName val="基本cvs動向"/>
      <sheetName val="包材"/>
      <sheetName val="商品ﾏｽﾀｰ"/>
      <sheetName val="工贸劳务费请求明细"/>
      <sheetName val="生活用品劳务费请求明细"/>
      <sheetName val="与信ｵｰﾊﾞｰ"/>
      <sheetName val="経費"/>
      <sheetName val="廃番ﾃﾞｯﾄﾞ"/>
      <sheetName val="taalcode"/>
      <sheetName val="041(茶） "/>
      <sheetName val="dptFMT"/>
      <sheetName val="事FMT"/>
      <sheetName val="調FMT"/>
      <sheetName val="ｶﾃ"/>
      <sheetName val="家電担当者 "/>
      <sheetName val="SEIｶﾗｰ"/>
      <sheetName val="Ｓ一月度"/>
      <sheetName val="第3四半期（完）"/>
      <sheetName val="０５"/>
      <sheetName val="graph"/>
      <sheetName val="本体バック"/>
      <sheetName val="商品形名表"/>
      <sheetName val="商品一覧表"/>
      <sheetName val="窓枠ｾｯﾄR"/>
      <sheetName val="納価目標"/>
      <sheetName val="シート1"/>
      <sheetName val="部品分類明細"/>
      <sheetName val="部品分類明細 "/>
      <sheetName val="⇒計算式データ"/>
      <sheetName val="事業部 "/>
      <sheetName val="BtoB名簿"/>
      <sheetName val="2018　年間ＰＯＳ"/>
      <sheetName val="データ"/>
      <sheetName val="日程表"/>
      <sheetName val="489社"/>
      <sheetName val="選択入力"/>
      <sheetName val="エリア"/>
      <sheetName val="６月方向性_5"/>
      <sheetName val="６月店舗_5"/>
      <sheetName val="ライン傾向と対策_5"/>
      <sheetName val="上位クラス_5"/>
      <sheetName val="上位単品_5"/>
      <sheetName val="元_(2)5"/>
      <sheetName val="与信一覧_(2)4"/>
      <sheetName val="F-ポジショニングＭＰ_3"/>
      <sheetName val="地域_CD2"/>
      <sheetName val="IS96S1_XLS2"/>
      <sheetName val="ＩＨコンロ鍋セット_"/>
      <sheetName val="2000LISTｔｒｕｅ_11173"/>
      <sheetName val="H9_14"/>
      <sheetName val="数値_(婦人)4"/>
      <sheetName val="メニュー【数量】_第二事業部3"/>
      <sheetName val="Plan_sbA3"/>
      <sheetName val="全社按分比__2"/>
      <sheetName val="第２章_1_食料品消費支出22"/>
      <sheetName val="NST_(4)"/>
      <sheetName val="POS_Data2"/>
      <sheetName val="10_20-11_121"/>
      <sheetName val="Sheet1_(2)2"/>
      <sheetName val="一般用ｶﾃｺﾞﾘｰ別_"/>
      <sheetName val="重点商品ＡＰ(調理家電)_"/>
      <sheetName val="（ジャパ抜き_）16年事業計画_(案)"/>
      <sheetName val="経費FMT_管理科目"/>
      <sheetName val="For_Hier_template"/>
      <sheetName val="041(茶）_"/>
      <sheetName val="家電担当者_"/>
      <sheetName val="部品分類明細_"/>
      <sheetName val="事業部_"/>
      <sheetName val="６月方向性_8"/>
      <sheetName val="６月店舗_8"/>
      <sheetName val="ライン傾向と対策_8"/>
      <sheetName val="上位クラス_8"/>
      <sheetName val="上位単品_8"/>
      <sheetName val="元_(2)8"/>
      <sheetName val="与信一覧_(2)7"/>
      <sheetName val="F-ポジショニングＭＰ_6"/>
      <sheetName val="地域_CD5"/>
      <sheetName val="IS96S1_XLS5"/>
      <sheetName val="ＩＨコンロ鍋セット_3"/>
      <sheetName val="2000LISTｔｒｕｅ_11176"/>
      <sheetName val="H9_17"/>
      <sheetName val="数値_(婦人)7"/>
      <sheetName val="メニュー【数量】_第二事業部6"/>
      <sheetName val="Plan_sbA6"/>
      <sheetName val="全社按分比__5"/>
      <sheetName val="第２章_1_食料品消費支出25"/>
      <sheetName val="NST_(4)3"/>
      <sheetName val="POS_Data5"/>
      <sheetName val="10_20-11_124"/>
      <sheetName val="Sheet1_(2)5"/>
      <sheetName val="一般用ｶﾃｺﾞﾘｰ別_3"/>
      <sheetName val="重点商品ＡＰ(調理家電)_3"/>
      <sheetName val="（ジャパ抜き_）16年事業計画_(案)3"/>
      <sheetName val="経費FMT_管理科目3"/>
      <sheetName val="For_Hier_template3"/>
      <sheetName val="041(茶）_3"/>
      <sheetName val="家電担当者_3"/>
      <sheetName val="部品分類明細_3"/>
      <sheetName val="事業部_3"/>
      <sheetName val="６月方向性_6"/>
      <sheetName val="６月店舗_6"/>
      <sheetName val="ライン傾向と対策_6"/>
      <sheetName val="上位クラス_6"/>
      <sheetName val="上位単品_6"/>
      <sheetName val="元_(2)6"/>
      <sheetName val="与信一覧_(2)5"/>
      <sheetName val="F-ポジショニングＭＰ_4"/>
      <sheetName val="地域_CD3"/>
      <sheetName val="IS96S1_XLS3"/>
      <sheetName val="ＩＨコンロ鍋セット_1"/>
      <sheetName val="2000LISTｔｒｕｅ_11174"/>
      <sheetName val="H9_15"/>
      <sheetName val="数値_(婦人)5"/>
      <sheetName val="メニュー【数量】_第二事業部4"/>
      <sheetName val="Plan_sbA4"/>
      <sheetName val="全社按分比__3"/>
      <sheetName val="第２章_1_食料品消費支出23"/>
      <sheetName val="NST_(4)1"/>
      <sheetName val="POS_Data3"/>
      <sheetName val="10_20-11_122"/>
      <sheetName val="Sheet1_(2)3"/>
      <sheetName val="一般用ｶﾃｺﾞﾘｰ別_1"/>
      <sheetName val="重点商品ＡＰ(調理家電)_1"/>
      <sheetName val="（ジャパ抜き_）16年事業計画_(案)1"/>
      <sheetName val="経費FMT_管理科目1"/>
      <sheetName val="For_Hier_template1"/>
      <sheetName val="041(茶）_1"/>
      <sheetName val="家電担当者_1"/>
      <sheetName val="部品分類明細_1"/>
      <sheetName val="事業部_1"/>
      <sheetName val="６月方向性_7"/>
      <sheetName val="６月店舗_7"/>
      <sheetName val="ライン傾向と対策_7"/>
      <sheetName val="上位クラス_7"/>
      <sheetName val="上位単品_7"/>
      <sheetName val="元_(2)7"/>
      <sheetName val="与信一覧_(2)6"/>
      <sheetName val="F-ポジショニングＭＰ_5"/>
      <sheetName val="地域_CD4"/>
      <sheetName val="IS96S1_XLS4"/>
      <sheetName val="ＩＨコンロ鍋セット_2"/>
      <sheetName val="2000LISTｔｒｕｅ_11175"/>
      <sheetName val="H9_16"/>
      <sheetName val="数値_(婦人)6"/>
      <sheetName val="メニュー【数量】_第二事業部5"/>
      <sheetName val="Plan_sbA5"/>
      <sheetName val="全社按分比__4"/>
      <sheetName val="第２章_1_食料品消費支出24"/>
      <sheetName val="NST_(4)2"/>
      <sheetName val="POS_Data4"/>
      <sheetName val="10_20-11_123"/>
      <sheetName val="Sheet1_(2)4"/>
      <sheetName val="一般用ｶﾃｺﾞﾘｰ別_2"/>
      <sheetName val="重点商品ＡＰ(調理家電)_2"/>
      <sheetName val="（ジャパ抜き_）16年事業計画_(案)2"/>
      <sheetName val="経費FMT_管理科目2"/>
      <sheetName val="For_Hier_template2"/>
      <sheetName val="041(茶）_2"/>
      <sheetName val="家電担当者_2"/>
      <sheetName val="部品分類明細_2"/>
      <sheetName val="事業部_2"/>
      <sheetName val="ﾄﾞﾛｯﾌﾟﾀﾞｳﾝ"/>
      <sheetName val="ルール"/>
      <sheetName val="６月方向性_9"/>
      <sheetName val="６月店舗_9"/>
      <sheetName val="ライン傾向と対策_9"/>
      <sheetName val="上位クラス_9"/>
      <sheetName val="上位単品_9"/>
      <sheetName val="元_(2)9"/>
      <sheetName val="与信一覧_(2)8"/>
      <sheetName val="F-ポジショニングＭＰ_7"/>
      <sheetName val="地域_CD6"/>
      <sheetName val="IS96S1_XLS6"/>
      <sheetName val="ＩＨコンロ鍋セット_4"/>
      <sheetName val="2000LISTｔｒｕｅ_11177"/>
      <sheetName val="H9_18"/>
      <sheetName val="数値_(婦人)8"/>
      <sheetName val="メニュー【数量】_第二事業部7"/>
      <sheetName val="Plan_sbA7"/>
      <sheetName val="全社按分比__6"/>
      <sheetName val="第２章_1_食料品消費支出26"/>
      <sheetName val="NST_(4)4"/>
      <sheetName val="POS_Data6"/>
      <sheetName val="10_20-11_125"/>
      <sheetName val="Sheet1_(2)6"/>
      <sheetName val="一般用ｶﾃｺﾞﾘｰ別_4"/>
      <sheetName val="重点商品ＡＰ(調理家電)_4"/>
      <sheetName val="（ジャパ抜き_）16年事業計画_(案)4"/>
      <sheetName val="経費FMT_管理科目4"/>
      <sheetName val="For_Hier_template4"/>
      <sheetName val="041(茶）_4"/>
      <sheetName val="家電担当者_4"/>
      <sheetName val="部品分類明細_4"/>
      <sheetName val="事業部_4"/>
      <sheetName val="まとめ"/>
      <sheetName val="Sheet367"/>
      <sheetName val="業務内容"/>
      <sheetName val="Sheet593"/>
      <sheetName val="６月方向性_10"/>
      <sheetName val="６月店舗_10"/>
      <sheetName val="ライン傾向と対策_10"/>
      <sheetName val="上位クラス_10"/>
      <sheetName val="上位単品_10"/>
      <sheetName val="元_(2)10"/>
      <sheetName val="与信一覧_(2)9"/>
      <sheetName val="F-ポジショニングＭＰ_8"/>
      <sheetName val="地域_CD7"/>
      <sheetName val="IS96S1_XLS7"/>
      <sheetName val="ＩＨコンロ鍋セット_5"/>
      <sheetName val="2000LISTｔｒｕｅ_11178"/>
      <sheetName val="H9_19"/>
      <sheetName val="数値_(婦人)9"/>
      <sheetName val="メニュー【数量】_第二事業部8"/>
      <sheetName val="Plan_sbA8"/>
      <sheetName val="全社按分比__7"/>
      <sheetName val="第２章_1_食料品消費支出27"/>
      <sheetName val="NST_(4)5"/>
      <sheetName val="POS_Data7"/>
      <sheetName val="10_20-11_126"/>
      <sheetName val="Sheet1_(2)7"/>
      <sheetName val="一般用ｶﾃｺﾞﾘｰ別_5"/>
      <sheetName val="重点商品ＡＰ(調理家電)_5"/>
      <sheetName val="（ジャパ抜き_）16年事業計画_(案)5"/>
      <sheetName val="経費FMT_管理科目5"/>
      <sheetName val="For_Hier_template5"/>
      <sheetName val="041(茶）_5"/>
      <sheetName val="家電担当者_5"/>
      <sheetName val="部品分類明細_5"/>
      <sheetName val="事業部_5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契約上棟ｸﾞﾗﾌ"/>
    </sheetNames>
    <sheetDataSet>
      <sheetData sheetId="0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13年度発生売上予算"/>
      <sheetName val="H13"/>
      <sheetName val="H12"/>
      <sheetName val="H11"/>
      <sheetName val="H10"/>
      <sheetName val="H9"/>
      <sheetName val="HQ"/>
      <sheetName val="GSV目標"/>
      <sheetName val="住所録"/>
      <sheetName val="43"/>
      <sheetName val="A"/>
      <sheetName val="RD9501V"/>
      <sheetName val="Ｃ’表"/>
      <sheetName val="NEW95G2"/>
      <sheetName val="更新版"/>
      <sheetName val="RD9505A"/>
      <sheetName val="全集計"/>
      <sheetName val="Ｃ’’表"/>
      <sheetName val="データ入力"/>
      <sheetName val="好調不調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RD9501V"/>
      <sheetName val="Sheet1"/>
      <sheetName val="ENGEI"/>
      <sheetName val="ぺっと"/>
      <sheetName val="収納"/>
      <sheetName val="工具"/>
      <sheetName val="カー用品"/>
      <sheetName val="日用品"/>
      <sheetName val="全社"/>
      <sheetName val="RD9505O"/>
      <sheetName val="RD9505A"/>
      <sheetName val="[RD9"/>
      <sheetName val="_RD9"/>
      <sheetName val="5月"/>
      <sheetName val="#REF"/>
      <sheetName val="改廃一覧社外秘"/>
      <sheetName val="端末設置状況"/>
      <sheetName val="手順①追加修正連絡票"/>
      <sheetName val="涼味"/>
      <sheetName val="トレンド表"/>
      <sheetName val="RD9508V"/>
      <sheetName val="西川繊維２０９ニトリ在庫報告"/>
      <sheetName val="NEW95G2"/>
      <sheetName val="43"/>
      <sheetName val="Ｃ’表"/>
      <sheetName val="おでん"/>
      <sheetName val="国勢DATA1"/>
      <sheetName val="国勢DATA2"/>
      <sheetName val="国勢DATA3"/>
      <sheetName val="国勢DATA県"/>
      <sheetName val="消費DATA1"/>
      <sheetName val="消費DATA2"/>
      <sheetName val="消費DATA3"/>
      <sheetName val="消費DATA県"/>
      <sheetName val="13年度発生売上予算"/>
      <sheetName val="入力リスト"/>
      <sheetName val="表3"/>
      <sheetName val="図8"/>
      <sheetName val="ﾄﾞｯﾄｺﾑ"/>
      <sheetName val="行楽ﾌｪｱ"/>
      <sheetName val="表紙"/>
      <sheetName val="仕訳①"/>
      <sheetName val="媒体管理表"/>
      <sheetName val="shtBuff"/>
      <sheetName val="copy1"/>
      <sheetName val="与信一覧 (2)"/>
      <sheetName val="好調不調"/>
      <sheetName val="昨対"/>
      <sheetName val="HQ"/>
      <sheetName val="GSV目標"/>
      <sheetName val="収納・インテ"/>
      <sheetName val="大型店版"/>
      <sheetName val="#REF!"/>
      <sheetName val="ｱｸｾｽｸﾞﾗﾌ"/>
      <sheetName val="仕入先"/>
      <sheetName val="対象製品"/>
      <sheetName val="全合計"/>
      <sheetName val="HE(他）"/>
      <sheetName val="住所録"/>
      <sheetName val="更新版"/>
      <sheetName val="PAK6263"/>
      <sheetName val="ｵｰﾀﾞｰ"/>
      <sheetName val="SKU_31"/>
      <sheetName val="11wG部門ﾗﾝｷﾝｸﾞ"/>
      <sheetName val="配荷"/>
      <sheetName val="8510 (2)"/>
      <sheetName val="0310"/>
      <sheetName val="1"/>
      <sheetName val="竹四つ目垣"/>
      <sheetName val="CM予定表(～2012年3月）"/>
      <sheetName val="shere"/>
      <sheetName val="25DJ40"/>
      <sheetName val="ﾃﾞｰﾀ"/>
      <sheetName val="提案書"/>
      <sheetName val="Ｗｅｂｱﾝｹｰﾄ①"/>
      <sheetName val="Ｗｅｂｱﾝｹｰﾄ②"/>
      <sheetName val="data"/>
      <sheetName val="ﾊｰﾄﾞｵﾌｨｽ価格表"/>
      <sheetName val="一覧表"/>
      <sheetName val="CPU"/>
      <sheetName val="12月"/>
      <sheetName val="043"/>
      <sheetName val="046"/>
      <sheetName val="055"/>
      <sheetName val="ﾃﾞｰﾀｲﾝﾌﾟｯﾄ欄"/>
      <sheetName val="dptFMT"/>
      <sheetName val="事FMT"/>
      <sheetName val="調FMT"/>
      <sheetName val="ｶﾃ"/>
      <sheetName val="Control"/>
      <sheetName val="8以上社員"/>
      <sheetName val="規格書"/>
      <sheetName val="人口移動第４表"/>
      <sheetName val="13_hashihara01"/>
      <sheetName val="29_hashihara13"/>
      <sheetName val="大人12"/>
      <sheetName val="A"/>
      <sheetName val="入力フォーム"/>
      <sheetName val="para"/>
      <sheetName val="１業種"/>
      <sheetName val="宛名"/>
      <sheetName val="ExChange"/>
      <sheetName val="社外秘；HCﾋﾞｼﾞﾈｽﾁｬﾝｽ"/>
      <sheetName val="販売目標"/>
      <sheetName val="バックデータ"/>
      <sheetName val="SBプラ鉢"/>
      <sheetName val="2000LISTｔｒｕｅ 1117"/>
      <sheetName val="実績・予測"/>
      <sheetName val="北空貼"/>
      <sheetName val="累計出荷実績"/>
      <sheetName val="Sheet1 (2)"/>
      <sheetName val="記入ﾌｫｰﾑ"/>
      <sheetName val="生人台帳"/>
      <sheetName val="４週指示"/>
      <sheetName val="提出用EXCEL"/>
      <sheetName val="営業所８"/>
      <sheetName val="RD9508V.XLS"/>
      <sheetName val="１"/>
      <sheetName val="新ﾗｲﾝ(部品展開)"/>
      <sheetName val="ｲﾎﾞ竹販売数調整"/>
      <sheetName val="管理引当金"/>
      <sheetName val="P1実績①"/>
      <sheetName val="Sheet3"/>
      <sheetName val="元データー"/>
      <sheetName val="目次"/>
      <sheetName val="ｼｰﾄ1"/>
      <sheetName val="マスター"/>
      <sheetName val="POP&amp;什器"/>
      <sheetName val="単価は最低納価使用"/>
      <sheetName val="_Recovered_SheetName_ 1_"/>
      <sheetName val="市場クレーム明細 "/>
      <sheetName val="POP申請フォーマット（ここに入力してください）"/>
      <sheetName val="通常発注書"/>
      <sheetName val="全体定番確定表"/>
      <sheetName val="与信一覧_(2)"/>
      <sheetName val="5-6月キャンペーン"/>
      <sheetName val="Ｃ’’表"/>
      <sheetName val="Ｃ’’’’表"/>
      <sheetName val="ケチャップ有り"/>
      <sheetName val="_REF"/>
      <sheetName val="管理引当"/>
      <sheetName val="領収書"/>
      <sheetName val="編集用シート"/>
      <sheetName val="包材リスト"/>
      <sheetName val="初回納品"/>
      <sheetName val="10.20-11.12"/>
      <sheetName val="健康ﾌｪｱ外注(ﾌﾞﾛｯｸ)"/>
      <sheetName val="仕様変更進捗（ＡＬＬ）"/>
      <sheetName val="ｷﾞﾌﾄ・ﾃﾅﾝﾄ除く"/>
      <sheetName val="基本量販店動向"/>
      <sheetName val="点数"/>
      <sheetName val="データ入力"/>
      <sheetName val="SEIｶﾗｰ"/>
      <sheetName val="売上(衣)"/>
      <sheetName val="原料ﾚｼﾋﾟ"/>
      <sheetName val="商品ﾏｽﾀｰ"/>
      <sheetName val="POP-YMDMH-ARI040930-1"/>
      <sheetName val="与信一覧_(2)1"/>
      <sheetName val="8510_(2)"/>
      <sheetName val="2000LISTｔｒｕｅ_1117"/>
      <sheetName val="Sheet1_(2)"/>
      <sheetName val="RD9508V_XLS"/>
      <sheetName val="市場クレーム明細_"/>
      <sheetName val="_Recovered_SheetName__1_"/>
      <sheetName val="10_20-11_12"/>
      <sheetName val="NST (4)"/>
      <sheetName val="日本チーム計算根拠"/>
      <sheetName val="０５３合計"/>
      <sheetName val="12年■SAS計画（全店舗）■"/>
      <sheetName val="検査結果一覧"/>
      <sheetName val="　月次報告（数値データ）　"/>
      <sheetName val="②仙台"/>
      <sheetName val="①器具製作実績グラフ"/>
      <sheetName val="与信管理帳合"/>
      <sheetName val="粗利率順Wﾁｪｯｸ表"/>
      <sheetName val="板資材(M)"/>
      <sheetName val="入力"/>
      <sheetName val="①品名・梱包入力"/>
      <sheetName val="店別"/>
      <sheetName val="H9.1"/>
      <sheetName val="Plan sbA"/>
      <sheetName val="ROI"/>
      <sheetName val="Plan_sbA"/>
      <sheetName val="提供用EXCEL"/>
      <sheetName val="与信一覧_(2)2"/>
      <sheetName val="8510_(2)1"/>
      <sheetName val="2000LISTｔｒｕｅ_11171"/>
      <sheetName val="Sheet1_(2)1"/>
      <sheetName val="RD9508V_XLS1"/>
      <sheetName val="10_20-11_121"/>
      <sheetName val="Plan_sbA1"/>
      <sheetName val="市場クレーム明細_1"/>
      <sheetName val="大連製造ＶＡコストダウン金額纏め (＄1000以上)."/>
      <sheetName val="033"/>
      <sheetName val="与信一覧_(2)3"/>
      <sheetName val="8510_(2)2"/>
      <sheetName val="2000LISTｔｒｕｅ_11172"/>
      <sheetName val="Sheet1_(2)2"/>
      <sheetName val="RD9508V_XLS2"/>
      <sheetName val="10_20-11_122"/>
      <sheetName val="Plan_sbA2"/>
      <sheetName val="市場クレーム明細_2"/>
      <sheetName val="日8L_B"/>
      <sheetName val="検査結果一覧(日本受入)"/>
      <sheetName val="不点灯交換の情報記載"/>
      <sheetName val="２月店舗経費実績"/>
      <sheetName val="１．社内ﾈｯﾄﾜｰｸﾊｰﾄﾞｳｪｱ"/>
      <sheetName val="ﾌﾟﾚｾﾞﾝ資"/>
      <sheetName val="じんこうTOPICS"/>
      <sheetName val="Ｃ実績①"/>
      <sheetName val="店舗マスタ"/>
      <sheetName val="先行管理記入例"/>
      <sheetName val="全件リスト"/>
      <sheetName val="D3"/>
      <sheetName val="graph"/>
      <sheetName val="SKU"/>
      <sheetName val="明細"/>
      <sheetName val="地域B"/>
      <sheetName val="G5"/>
      <sheetName val="部材表"/>
      <sheetName val="品目リスト"/>
      <sheetName val="営業所一覧"/>
      <sheetName val="LIST"/>
      <sheetName val="リスト"/>
      <sheetName val="SINAZ4月"/>
      <sheetName val="0606販売予測"/>
      <sheetName val="NST_(4)"/>
      <sheetName val="直送ｺﾝﾃﾅ管理表"/>
      <sheetName val="支給品一覧表"/>
      <sheetName val="本体バック"/>
      <sheetName val="②東京"/>
      <sheetName val="②大阪"/>
      <sheetName val="営業実績"/>
      <sheetName val="対象者リスト"/>
      <sheetName val="47下管理"/>
      <sheetName val="大容量ﾀｲﾌﾟ"/>
      <sheetName val="⑤弁当"/>
      <sheetName val="基本cvs動向"/>
      <sheetName val="証拠"/>
      <sheetName val="価格表"/>
      <sheetName val="経費"/>
      <sheetName val="万田酵素モニター"/>
      <sheetName val="ダンジ"/>
      <sheetName val="商品一覧"/>
      <sheetName val="入金実96"/>
      <sheetName val="元データ"/>
      <sheetName val="品種別数量"/>
      <sheetName val="Ｃ'表"/>
      <sheetName val="廃番ﾃﾞｯﾄﾞ"/>
      <sheetName val="定数"/>
      <sheetName val="マスタ"/>
      <sheetName val="Sheet1_(2)3"/>
      <sheetName val="与信一覧_(2)4"/>
      <sheetName val="8510_(2)3"/>
      <sheetName val="2000LISTｔｒｕｅ_11173"/>
      <sheetName val="RD9508V_XLS3"/>
      <sheetName val="市場クレーム明細_3"/>
      <sheetName val="_Recovered_SheetName__1_1"/>
      <sheetName val="10_20-11_123"/>
      <sheetName val="H9_1"/>
      <sheetName val="Plan_sbA3"/>
      <sheetName val="大連製造ＶＡコストダウン金額纏め_(＄1000以上)_"/>
      <sheetName val="Sheet2"/>
      <sheetName val="32.ＹＢ構成"/>
      <sheetName val="USA_3期グラフ"/>
      <sheetName val="【大連】部門損益"/>
      <sheetName val="11年度発生売上予算提出書類"/>
      <sheetName val="2401"/>
      <sheetName val="Macro1"/>
      <sheetName val="NST_(4)1"/>
      <sheetName val="外注トライ"/>
      <sheetName val="0901"/>
      <sheetName val="0902"/>
      <sheetName val="0903"/>
      <sheetName val="0904"/>
      <sheetName val="0905"/>
      <sheetName val="0906"/>
      <sheetName val="0907"/>
      <sheetName val="0908"/>
      <sheetName val="0909"/>
      <sheetName val="0910"/>
      <sheetName val="0911"/>
      <sheetName val="0912"/>
      <sheetName val="鳥栖"/>
      <sheetName val="Rent Roll"/>
      <sheetName val="受取配当金"/>
      <sheetName val="クレジット決済"/>
      <sheetName val="Rent_Roll"/>
      <sheetName val="Sheet5"/>
      <sheetName val="Sheet6"/>
      <sheetName val="Sheet7"/>
      <sheetName val="Sheet8"/>
      <sheetName val="Sheet9"/>
      <sheetName val="52wG部門ﾗﾝｷﾝｸﾞ"/>
      <sheetName val="形材部品マスター"/>
      <sheetName val="企画書"/>
      <sheetName val="帳票"/>
      <sheetName val="ST障害管理表"/>
      <sheetName val="資材ＳＩＭ"/>
      <sheetName val="コード(腕時計)"/>
      <sheetName val="POP製作Ｂ"/>
      <sheetName val="PＯＰ制作Ａ新"/>
      <sheetName val="区分"/>
      <sheetName val="台湾～ｵﾏｰﾝ"/>
      <sheetName val="損益計画"/>
      <sheetName val="メニュー"/>
      <sheetName val="設定"/>
      <sheetName val="フリーダイヤル"/>
      <sheetName val="機種"/>
      <sheetName val="発信元課金"/>
      <sheetName val="●キャンペーン・企画ヒアリング"/>
      <sheetName val="昨比データ"/>
      <sheetName val="Wﾁｪｯｸ表"/>
      <sheetName val="share"/>
      <sheetName val="売上速報19973"/>
      <sheetName val="全国"/>
      <sheetName val="ﾘｽﾄ"/>
      <sheetName val="エンド"/>
      <sheetName val="ラックEXPO"/>
      <sheetName val="クロス昨年"/>
      <sheetName val="クロス売上"/>
      <sheetName val="入力用"/>
      <sheetName val="ｼﾞｬｽｺ商報"/>
      <sheetName val="集計①"/>
      <sheetName val="与信ｵｰﾊﾞｰ"/>
      <sheetName val="入力シート"/>
      <sheetName val="報告依頼部署"/>
      <sheetName val="HA実販"/>
      <sheetName val="部門別計画表"/>
      <sheetName val="ﾁｭｰﾘｯﾌﾟ"/>
      <sheetName val="ﾕﾘ"/>
      <sheetName val="ｽｲｾﾝ_ﾋﾔｼﾝｽ_ｸﾛｯｶｽ"/>
      <sheetName val="全件ﾘｽﾄ"/>
      <sheetName val="店舗情報"/>
      <sheetName val="メンテナンス受付台帳"/>
      <sheetName val="個数単価推移２００１"/>
      <sheetName val="30IY"/>
      <sheetName val="VIVA"/>
      <sheetName val="30VIVA"/>
      <sheetName val="ドイト"/>
      <sheetName val="30ドイト"/>
      <sheetName val="島忠"/>
      <sheetName val="30島忠"/>
      <sheetName val="貼付用"/>
      <sheetName val="家電担当者 "/>
      <sheetName val="Tp040611-2%"/>
      <sheetName val="集計シート(合算)"/>
      <sheetName val="42.ＹＢ構成"/>
      <sheetName val="月末"/>
      <sheetName val="tbl"/>
      <sheetName val="カーサイクル"/>
      <sheetName val="与信一覧_(2)5"/>
      <sheetName val="8510_(2)4"/>
      <sheetName val="2000LISTｔｒｕｅ_11174"/>
      <sheetName val="Sheet1_(2)4"/>
      <sheetName val="RD9508V_XLS4"/>
      <sheetName val="10_20-11_124"/>
      <sheetName val="大連製造ＶＡコストダウン金額纏め_(＄1000以上)_1"/>
      <sheetName val="Plan_sbA4"/>
      <sheetName val="市場クレーム明細_4"/>
      <sheetName val="_Recovered_SheetName__1_2"/>
      <sheetName val="NST_(4)2"/>
      <sheetName val="H9_11"/>
      <sheetName val="Rent_Roll1"/>
      <sheetName val="32_ＹＢ構成"/>
      <sheetName val="3_hashihara48"/>
      <sheetName val="⑧-2ﾊﾟﾀｰﾝ別店舗一覧"/>
      <sheetName val=""/>
      <sheetName val="作業"/>
      <sheetName val="万代比数"/>
      <sheetName val="Product"/>
      <sheetName val="ﾌﾞﾗｼ梶"/>
      <sheetName val="アンケート集計(12.3）"/>
      <sheetName val="taalcode"/>
      <sheetName val="全体AP資料10月(ＨＥ)"/>
      <sheetName val="与信一覧_(2)6"/>
      <sheetName val="8510_(2)5"/>
      <sheetName val="2000LISTｔｒｕｅ_11175"/>
      <sheetName val="Sheet1_(2)5"/>
      <sheetName val="RD9508V_XLS5"/>
      <sheetName val="10_20-11_125"/>
      <sheetName val="市場クレーム明細_5"/>
      <sheetName val="Plan_sbA5"/>
      <sheetName val="大連製造ＶＡコストダウン金額纏め_(＄1000以上)_2"/>
      <sheetName val="_Recovered_SheetName__1_3"/>
      <sheetName val="NST_(4)3"/>
      <sheetName val="H9_12"/>
      <sheetName val="Rent_Roll2"/>
      <sheetName val="32_ＹＢ構成1"/>
      <sheetName val="店舗（合算）"/>
      <sheetName val="見積書"/>
      <sheetName val="集計シート(IY)"/>
      <sheetName val="net_qty"/>
      <sheetName val="０５"/>
      <sheetName val="新商品比率ｸﾞﾗﾌ"/>
      <sheetName val="開店"/>
      <sheetName val="店舗一覧"/>
      <sheetName val="貼付画面1"/>
      <sheetName val="ﾌｰｽﾞ売荒"/>
      <sheetName val="選択"/>
      <sheetName val="商品台帳"/>
      <sheetName val="ライン・月別　品目数表"/>
      <sheetName val="検質報告書"/>
      <sheetName val="コンテナ事故報告"/>
      <sheetName val="業態"/>
      <sheetName val="仕入処理ルール"/>
      <sheetName val="事業部"/>
      <sheetName val="ﾊｰﾄﾞ①【全データ】"/>
      <sheetName val="品種別計画表〈予算）"/>
      <sheetName val="広域２部３部結合"/>
      <sheetName val="生産計画"/>
      <sheetName val="比較ヘッダー"/>
      <sheetName val="Sheet16"/>
      <sheetName val="011101"/>
      <sheetName val="01-072"/>
      <sheetName val="shtWork1"/>
      <sheetName val="0127000受注処理"/>
      <sheetName val="銘柄７（浸透ﾗﾝｸ）"/>
      <sheetName val="印鑑捺印ﾏｸﾛ"/>
      <sheetName val="ﾁﾗｼ"/>
      <sheetName val="取引先等一覧"/>
      <sheetName val="与信一覧_(2)7"/>
      <sheetName val="8510_(2)6"/>
      <sheetName val="2000LISTｔｒｕｅ_11176"/>
      <sheetName val="Sheet1_(2)6"/>
      <sheetName val="_Recovered_SheetName__1_4"/>
      <sheetName val="RD9508V_XLS6"/>
      <sheetName val="10_20-11_126"/>
      <sheetName val="市場クレーム明細_6"/>
      <sheetName val="Plan_sbA6"/>
      <sheetName val="NST_(4)4"/>
      <sheetName val="大連製造ＶＡコストダウン金額纏め_(＄1000以上)_3"/>
      <sheetName val="H9_13"/>
      <sheetName val="Rent_Roll3"/>
      <sheetName val="32_ＹＢ構成2"/>
      <sheetName val="台帳"/>
      <sheetName val="単価"/>
      <sheetName val="新MDPC納品状況（ＩＹ）"/>
      <sheetName val="第２章 1.食料品消費支出2"/>
      <sheetName val="計算"/>
      <sheetName val="区分値シート"/>
      <sheetName val="加工"/>
      <sheetName val="加工２"/>
      <sheetName val="商品マスタ"/>
      <sheetName val="店別売上構成比"/>
      <sheetName val="外食Z県別"/>
      <sheetName val="家電担当者_"/>
      <sheetName val="42_ＹＢ構成"/>
      <sheetName val="アンケート集計(12_3）"/>
      <sheetName val="MCDSS"/>
      <sheetName val="D28依頼書表紙"/>
      <sheetName val="JUUGYOUIN"/>
      <sheetName val="ｷﾞﾌﾄ"/>
      <sheetName val="加工シート"/>
      <sheetName val="溶接付加"/>
      <sheetName val="■13店別展開パターン表 (3)"/>
      <sheetName val="■13店別展開パターン表"/>
      <sheetName val="ＭG５５５、５５４チャンネル"/>
      <sheetName val="選択項目一覧 "/>
      <sheetName val="Sheet4"/>
      <sheetName val="プルダウンメニュー20190201"/>
      <sheetName val="プルダウンメニュー20190401"/>
      <sheetName val="窓枠ｾｯﾄR"/>
      <sheetName val="QRＳ"/>
      <sheetName val="イキプラ選定ラインクラス表"/>
      <sheetName val="契約上棟ｸﾞﾗﾌ"/>
      <sheetName val="貼付画面T"/>
      <sheetName val="貼付画面R"/>
      <sheetName val="参）種別リスト"/>
      <sheetName val="市場規模"/>
      <sheetName val="週別主力商品(婦人)"/>
      <sheetName val="SIM00_SB"/>
      <sheetName val="クレーム解析記録"/>
      <sheetName val="比較表"/>
      <sheetName val="売上集計"/>
      <sheetName val="ﾏｽﾀｰ入･出力ｼｰﾄ"/>
      <sheetName val="プルダウン項目"/>
      <sheetName val="宅配伝票リスト"/>
      <sheetName val="APPLE"/>
      <sheetName val="H7昇格者"/>
      <sheetName val="分類一覧"/>
      <sheetName val="経費FMT 管理科目"/>
      <sheetName val="昨年比データ"/>
      <sheetName val="ワーク"/>
      <sheetName val="SC入替"/>
      <sheetName val="0801_03全体実績集計"/>
      <sheetName val="8.3～新商品"/>
      <sheetName val="ﾃﾞｰﾀｼｰﾄ"/>
      <sheetName val="06.05"/>
      <sheetName val="06.05イン"/>
      <sheetName val="06.05直営"/>
      <sheetName val="現状鳥栖 (事業部予測) "/>
      <sheetName val="データ"/>
      <sheetName val="ﾃﾞｰﾀ入力"/>
      <sheetName val="仕入計画AI8月"/>
      <sheetName val="商品構成ｸﾞﾗﾌ（売価別）"/>
      <sheetName val="○得計画"/>
      <sheetName val="平均単価"/>
      <sheetName val="確認完了報告"/>
      <sheetName val="選択項目"/>
      <sheetName val="ﾏｽﾀｰ"/>
      <sheetName val="ぶつﾏｽﾀｰ"/>
      <sheetName val="ディックＤ"/>
      <sheetName val="フジＤ"/>
      <sheetName val="事Ｄ"/>
      <sheetName val="シート１"/>
      <sheetName val="抽出_Pivot"/>
      <sheetName val="3月消臭元"/>
      <sheetName val="外注データ(ここへ入力)"/>
      <sheetName val="布団乾燥機ｐｐｍ"/>
      <sheetName val="発売済（価格表反映済）"/>
      <sheetName val="NJ基本data"/>
      <sheetName val="現場監督情報"/>
      <sheetName val="案件一覧控え"/>
      <sheetName val="月別落込(新店込)"/>
      <sheetName val="ＦＤ実績 "/>
      <sheetName val="㋱ＰＯＳｏｕｔ実績"/>
      <sheetName val="8月度メーカー比較"/>
      <sheetName val="201808実績"/>
      <sheetName val="201908実績"/>
      <sheetName val="前年比較"/>
      <sheetName val="盆金封"/>
      <sheetName val="軽減税率･ﾊﾝﾃﾞｨﾌｧﾝ"/>
      <sheetName val="STｹｼ･ﾋﾟｯﾄ"/>
      <sheetName val="STｹｼ比較"/>
      <sheetName val="6月度"/>
      <sheetName val="７月度 "/>
      <sheetName val="8月度"/>
      <sheetName val="マスク"/>
      <sheetName val="業務依頼書"/>
      <sheetName val="ﾘﾍﾞｰﾄﾗﾝｸ2000"/>
      <sheetName val="工事予算書"/>
      <sheetName val="YAMADA_TSUKUMO_分類比較"/>
      <sheetName val="アパート６６６０"/>
      <sheetName val="原紙"/>
      <sheetName val="第3四半期（完）"/>
      <sheetName val="弊社分類別実績"/>
      <sheetName val="貴社分類別別実績"/>
      <sheetName val="Front Cover 表紙（３SET）"/>
      <sheetName val="現地通貨"/>
      <sheetName val="店舗P"/>
      <sheetName val="Catalog"/>
      <sheetName val="Settings"/>
      <sheetName val="配荷目標"/>
      <sheetName val="新"/>
      <sheetName val="集計表"/>
      <sheetName val="人時予算"/>
      <sheetName val="ﾃﾚｺTｼｬﾂ"/>
      <sheetName val="一覧"/>
      <sheetName val="与信一覧_(2)8"/>
      <sheetName val="8510_(2)7"/>
      <sheetName val="2000LISTｔｒｕｅ_11177"/>
      <sheetName val="Sheet1_(2)7"/>
      <sheetName val="RD9508V_XLS7"/>
      <sheetName val="10_20-11_127"/>
      <sheetName val="市場クレーム明細_7"/>
      <sheetName val="_Recovered_SheetName__1_5"/>
      <sheetName val="NST_(4)5"/>
      <sheetName val="Plan_sbA7"/>
      <sheetName val="大連製造ＶＡコストダウン金額纏め_(＄1000以上)_4"/>
      <sheetName val="H9_14"/>
      <sheetName val="Rent_Roll4"/>
      <sheetName val="32_ＹＢ構成3"/>
      <sheetName val="アンケート集計(12_3）1"/>
      <sheetName val="家電担当者_1"/>
      <sheetName val="42_ＹＢ構成1"/>
      <sheetName val="第２章_1_食料品消費支出2"/>
      <sheetName val="■13店別展開パターン表_(3)"/>
      <sheetName val="選択項目一覧_"/>
      <sheetName val="06_05"/>
      <sheetName val="06_05イン"/>
      <sheetName val="06_05直営"/>
      <sheetName val="現状鳥栖_(事業部予測)_"/>
      <sheetName val="8_3～新商品"/>
      <sheetName val="ＦＤ実績_"/>
      <sheetName val="７月度_"/>
      <sheetName val="経費FMT_管理科目"/>
      <sheetName val="与信一覧_(2)9"/>
      <sheetName val="8510_(2)8"/>
      <sheetName val="2000LISTｔｒｕｅ_11178"/>
      <sheetName val="Sheet1_(2)8"/>
      <sheetName val="RD9508V_XLS8"/>
      <sheetName val="10_20-11_128"/>
      <sheetName val="Plan_sbA8"/>
      <sheetName val="市場クレーム明細_8"/>
      <sheetName val="_Recovered_SheetName__1_6"/>
      <sheetName val="NST_(4)6"/>
      <sheetName val="大連製造ＶＡコストダウン金額纏め_(＄1000以上)_5"/>
      <sheetName val="H9_15"/>
      <sheetName val="Rent_Roll5"/>
      <sheetName val="32_ＹＢ構成4"/>
      <sheetName val="アンケート集計(12_3）2"/>
      <sheetName val="家電担当者_2"/>
      <sheetName val="42_ＹＢ構成2"/>
      <sheetName val="第２章_1_食料品消費支出21"/>
      <sheetName val="■13店別展開パターン表_(3)1"/>
      <sheetName val="選択項目一覧_1"/>
      <sheetName val="06_051"/>
      <sheetName val="06_05イン1"/>
      <sheetName val="06_05直営1"/>
      <sheetName val="現状鳥栖_(事業部予測)_1"/>
      <sheetName val="8_3～新商品1"/>
      <sheetName val="ＦＤ実績_1"/>
      <sheetName val="７月度_1"/>
      <sheetName val="経費FMT_管理科目1"/>
      <sheetName val="消すな！"/>
      <sheetName val="棚卸030203下田"/>
      <sheetName val="ＮＣ"/>
      <sheetName val="和風アイス調査アンケート結果"/>
      <sheetName val="基本"/>
      <sheetName val="ﾌﾙｰﾂ村pet"/>
      <sheetName val="表紙数字"/>
      <sheetName val="WORK"/>
      <sheetName val="データ作成シート"/>
      <sheetName val="予算・計画検証"/>
      <sheetName val="サマリ"/>
      <sheetName val="消耗品"/>
      <sheetName val="日配マスター"/>
      <sheetName val="つばさ保育園"/>
      <sheetName val="近文保育所"/>
      <sheetName val="いずみこども保育園"/>
      <sheetName val="慈光園保育所"/>
      <sheetName val="東神楽中央保育園"/>
      <sheetName val="神楽保育園 "/>
      <sheetName val="ふたばの庭"/>
      <sheetName val="商品マスター"/>
      <sheetName val="主要港 10"/>
      <sheetName val="富田貼"/>
      <sheetName val="数値生鮮フロア"/>
      <sheetName val="状態・数値割合"/>
      <sheetName val="数値フロア"/>
      <sheetName val="状態個人別"/>
      <sheetName val="貸出比較"/>
      <sheetName val="仕入"/>
      <sheetName val="シミュレーションD1 "/>
      <sheetName val="販促実績 (2)"/>
      <sheetName val="粗利リビングステージ"/>
      <sheetName val="粗利ｱﾚｺﾚ"/>
      <sheetName val="粗利ｱｳﾄﾚｯﾄ"/>
      <sheetName val="アレコレ予算"/>
      <sheetName val="シュミレーション"/>
      <sheetName val="2018 年間計画"/>
      <sheetName val="備考3"/>
      <sheetName val="2019 予算2"/>
      <sheetName val="2018 高松店方針"/>
      <sheetName val="2018売上粗利計画"/>
      <sheetName val="18年度販促計画 "/>
      <sheetName val="組織と担当"/>
      <sheetName val="地区別実績"/>
      <sheetName val="マッピング"/>
      <sheetName val="★展示構成表"/>
      <sheetName val="売上構成表"/>
      <sheetName val="2017年間実績"/>
      <sheetName val="月別売上計画"/>
      <sheetName val="月別粗利計画 "/>
      <sheetName val="在庫金額"/>
      <sheetName val="ほうれん草とﾍﾞｰｺﾝ"/>
      <sheetName val="商品規格書"/>
      <sheetName val="八  (2)"/>
      <sheetName val="青 (3)"/>
      <sheetName val="仙台"/>
      <sheetName val="関東 (2)"/>
      <sheetName val="関東"/>
      <sheetName val="札"/>
      <sheetName val="青 (2)"/>
      <sheetName val="八 "/>
      <sheetName val="二本松"/>
      <sheetName val="二本松 (2)"/>
      <sheetName val="二本松 (3)"/>
      <sheetName val="二本松 (4)"/>
      <sheetName val="メーカー欠品横持"/>
      <sheetName val="メーカー欠品拠点横持報告書（本社行）盛岡"/>
      <sheetName val="社員マスタ"/>
      <sheetName val="ParamCATE"/>
      <sheetName val="ParamCLASS"/>
      <sheetName val="ParamTENPO"/>
      <sheetName val="ParamBUMON"/>
      <sheetName val="設定画面"/>
      <sheetName val="店舗リスト"/>
      <sheetName val="担当表"/>
      <sheetName val="部品分類明細"/>
      <sheetName val="部品分類明細 (2)"/>
      <sheetName val="改廃棚割商品ｶﾙﾃ1（要記入）"/>
      <sheetName val="地域 CD"/>
      <sheetName val="3"/>
      <sheetName val="与信一覧_(2)10"/>
      <sheetName val="8510_(2)9"/>
      <sheetName val="2000LISTｔｒｕｅ_11179"/>
      <sheetName val="Sheet1_(2)9"/>
      <sheetName val="RD9508V_XLS9"/>
      <sheetName val="_Recovered_SheetName__1_7"/>
      <sheetName val="10_20-11_129"/>
      <sheetName val="市場クレーム明細_9"/>
      <sheetName val="Plan_sbA9"/>
      <sheetName val="NST_(4)7"/>
      <sheetName val="大連製造ＶＡコストダウン金額纏め_(＄1000以上)_6"/>
      <sheetName val="H9_16"/>
      <sheetName val="Rent_Roll6"/>
      <sheetName val="32_ＹＢ構成5"/>
      <sheetName val="アンケート集計(12_3）3"/>
      <sheetName val="家電担当者_3"/>
      <sheetName val="42_ＹＢ構成3"/>
      <sheetName val="第２章_1_食料品消費支出22"/>
      <sheetName val="■13店別展開パターン表_(3)2"/>
      <sheetName val="選択項目一覧_2"/>
      <sheetName val="06_052"/>
      <sheetName val="06_05イン2"/>
      <sheetName val="06_05直営2"/>
      <sheetName val="現状鳥栖_(事業部予測)_2"/>
      <sheetName val="8_3～新商品2"/>
      <sheetName val="ＦＤ実績_2"/>
      <sheetName val="７月度_2"/>
      <sheetName val="経費FMT_管理科目2"/>
      <sheetName val="主要港_10"/>
      <sheetName val="販促実績_(2)"/>
      <sheetName val="Front_Cover_表紙（３SET）"/>
      <sheetName val="INS住まい"/>
      <sheetName val="与信一覧_(2)11"/>
      <sheetName val="8510_(2)10"/>
      <sheetName val="2000LISTｔｒｕｅ_111710"/>
      <sheetName val="Sheet1_(2)10"/>
      <sheetName val="RD9508V_XLS10"/>
      <sheetName val="_Recovered_SheetName__1_8"/>
      <sheetName val="10_20-11_1210"/>
      <sheetName val="市場クレーム明細_10"/>
      <sheetName val="Plan_sbA10"/>
      <sheetName val="NST_(4)8"/>
      <sheetName val="大連製造ＶＡコストダウン金額纏め_(＄1000以上)_7"/>
      <sheetName val="H9_17"/>
      <sheetName val="Rent_Roll7"/>
      <sheetName val="32_ＹＢ構成6"/>
      <sheetName val="アンケート集計(12_3）4"/>
      <sheetName val="家電担当者_4"/>
      <sheetName val="42_ＹＢ構成4"/>
      <sheetName val="第２章_1_食料品消費支出23"/>
      <sheetName val="■13店別展開パターン表_(3)3"/>
      <sheetName val="選択項目一覧_3"/>
      <sheetName val="06_053"/>
      <sheetName val="06_05イン3"/>
      <sheetName val="06_05直営3"/>
      <sheetName val="現状鳥栖_(事業部予測)_3"/>
      <sheetName val="8_3～新商品3"/>
      <sheetName val="ＦＤ実績_3"/>
      <sheetName val="７月度_3"/>
      <sheetName val="経費FMT_管理科目3"/>
      <sheetName val="主要港_101"/>
      <sheetName val="販促実績_(2)1"/>
      <sheetName val="Front_Cover_表紙（３SET）1"/>
      <sheetName val="八__(2)"/>
      <sheetName val="青_(3)"/>
      <sheetName val="関東_(2)"/>
      <sheetName val="青_(2)"/>
      <sheetName val="八_"/>
      <sheetName val="二本松_(2)"/>
      <sheetName val="二本松_(3)"/>
      <sheetName val="二本松_(4)"/>
      <sheetName val="商品"/>
      <sheetName val="S060204"/>
      <sheetName val="店在一覧"/>
      <sheetName val="ﾁﾗｼ枚数"/>
      <sheetName val="商品形名表"/>
      <sheetName val="区分表"/>
      <sheetName val="地域_CD"/>
      <sheetName val="OLAP"/>
      <sheetName val="帳合表"/>
      <sheetName val="Effort by Menu Item"/>
      <sheetName val="S070080"/>
      <sheetName val="返答"/>
      <sheetName val="地域_CD1"/>
      <sheetName val="対象内容"/>
      <sheetName val="ﾄﾞﾛｯﾌﾟﾀﾞｳﾝ"/>
      <sheetName val="実績管理表"/>
      <sheetName val="実績管理表(商品別)"/>
      <sheetName val="商品群別販売計画(前期)"/>
      <sheetName val="実績管理表(店別)"/>
      <sheetName val="商品群別販売計画(後期)"/>
      <sheetName val="印刷用"/>
      <sheetName val="登録"/>
      <sheetName val="SPLDAT"/>
      <sheetName val="コクミン"/>
      <sheetName val="拠点"/>
      <sheetName val="原材料ｱｲﾃﾑﾏｽﾀｰ"/>
      <sheetName val="仕入数"/>
      <sheetName val="製造数"/>
      <sheetName val="製造ｱｲﾃﾑﾏｽﾀｰ"/>
      <sheetName val="在庫数"/>
      <sheetName val="原料内訳"/>
      <sheetName val="データ販路3層"/>
      <sheetName val="データ業種"/>
      <sheetName val="データ契約プラン"/>
      <sheetName val="データ販路2層"/>
      <sheetName val="データ営業担当（エリア）"/>
      <sheetName val="データ営業担当（MS）"/>
      <sheetName val="データ販路4層"/>
      <sheetName val="データプルダウン"/>
      <sheetName val="ﾘｽﾄﾃﾞｰﾀ"/>
      <sheetName val="ﾌﾟﾙﾀﾞｳﾝ"/>
      <sheetName val="ISF10+2"/>
      <sheetName val="給与マスタ区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/>
      <sheetData sheetId="674"/>
      <sheetData sheetId="675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RD9501V"/>
      <sheetName val="Sheet1"/>
      <sheetName val="ENGEI"/>
      <sheetName val="ぺっと"/>
      <sheetName val="収納"/>
      <sheetName val="工具"/>
      <sheetName val="カー用品"/>
      <sheetName val="日用品"/>
      <sheetName val="全社"/>
      <sheetName val="RD9505O"/>
      <sheetName val="RD9505A"/>
      <sheetName val="[RD9"/>
      <sheetName val="_RD9"/>
      <sheetName val="5月"/>
      <sheetName val="#REF"/>
      <sheetName val="改廃一覧社外秘"/>
      <sheetName val="端末設置状況"/>
      <sheetName val="手順①追加修正連絡票"/>
      <sheetName val="涼味"/>
      <sheetName val="トレンド表"/>
      <sheetName val="RD9508V"/>
      <sheetName val="Ｃ’表"/>
      <sheetName val="西川繊維２０９ニトリ在庫報告"/>
      <sheetName val="NEW95G2"/>
      <sheetName val="43"/>
      <sheetName val="おでん"/>
      <sheetName val="国勢DATA1"/>
      <sheetName val="国勢DATA2"/>
      <sheetName val="国勢DATA3"/>
      <sheetName val="国勢DATA県"/>
      <sheetName val="消費DATA1"/>
      <sheetName val="消費DATA2"/>
      <sheetName val="消費DATA3"/>
      <sheetName val="消費DATA県"/>
      <sheetName val="13年度発生売上予算"/>
      <sheetName val="入力リスト"/>
      <sheetName val="表3"/>
      <sheetName val="図8"/>
      <sheetName val="ﾄﾞｯﾄｺﾑ"/>
      <sheetName val="行楽ﾌｪｱ"/>
      <sheetName val="表紙"/>
      <sheetName val="shtBuff"/>
      <sheetName val="仕訳①"/>
      <sheetName val="媒体管理表"/>
      <sheetName val="copy1"/>
      <sheetName val="好調不調"/>
      <sheetName val="昨対"/>
      <sheetName val="与信一覧 (2)"/>
      <sheetName val="HQ"/>
      <sheetName val="GSV目標"/>
      <sheetName val="大型店版"/>
      <sheetName val="収納・インテ"/>
      <sheetName val="#REF!"/>
      <sheetName val="ｱｸｾｽｸﾞﾗﾌ"/>
      <sheetName val="HE(他）"/>
      <sheetName val="仕入先"/>
      <sheetName val="対象製品"/>
      <sheetName val="住所録"/>
      <sheetName val="全合計"/>
      <sheetName val="PAK6263"/>
      <sheetName val="更新版"/>
      <sheetName val="11wG部門ﾗﾝｷﾝｸﾞ"/>
      <sheetName val="ｵｰﾀﾞｰ"/>
      <sheetName val="SKU_31"/>
      <sheetName val="配荷"/>
      <sheetName val="8510 (2)"/>
      <sheetName val="0310"/>
      <sheetName val="1"/>
      <sheetName val="竹四つ目垣"/>
      <sheetName val="CM予定表(～2012年3月）"/>
      <sheetName val="shere"/>
      <sheetName val="25DJ40"/>
      <sheetName val="ﾃﾞｰﾀ"/>
      <sheetName val="提案書"/>
      <sheetName val="Ｗｅｂｱﾝｹｰﾄ①"/>
      <sheetName val="Ｗｅｂｱﾝｹｰﾄ②"/>
      <sheetName val="data"/>
      <sheetName val="ﾊｰﾄﾞｵﾌｨｽ価格表"/>
      <sheetName val="一覧表"/>
      <sheetName val="CPU"/>
      <sheetName val="12月"/>
      <sheetName val="043"/>
      <sheetName val="046"/>
      <sheetName val="055"/>
      <sheetName val="ﾃﾞｰﾀｲﾝﾌﾟｯﾄ欄"/>
      <sheetName val="dptFMT"/>
      <sheetName val="事FMT"/>
      <sheetName val="調FMT"/>
      <sheetName val="ｶﾃ"/>
      <sheetName val="Control"/>
      <sheetName val="8以上社員"/>
      <sheetName val="規格書"/>
      <sheetName val="人口移動第４表"/>
      <sheetName val="13_hashihara01"/>
      <sheetName val="29_hashihara13"/>
      <sheetName val="大人12"/>
      <sheetName val="A"/>
      <sheetName val="入力フォーム"/>
      <sheetName val="para"/>
      <sheetName val="１業種"/>
      <sheetName val="宛名"/>
      <sheetName val="ExChange"/>
      <sheetName val="社外秘；HCﾋﾞｼﾞﾈｽﾁｬﾝｽ"/>
      <sheetName val="販売目標"/>
      <sheetName val="バックデータ"/>
      <sheetName val="SBプラ鉢"/>
      <sheetName val="2000LISTｔｒｕｅ 1117"/>
      <sheetName val="実績・予測"/>
      <sheetName val="北空貼"/>
      <sheetName val="累計出荷実績"/>
      <sheetName val="Sheet1 (2)"/>
      <sheetName val="記入ﾌｫｰﾑ"/>
      <sheetName val="４週指示"/>
      <sheetName val="提出用EXCEL"/>
      <sheetName val="営業所８"/>
      <sheetName val="RD9508V.XLS"/>
      <sheetName val="１"/>
      <sheetName val="新ﾗｲﾝ(部品展開)"/>
      <sheetName val="ｲﾎﾞ竹販売数調整"/>
      <sheetName val="管理引当金"/>
      <sheetName val="P1実績①"/>
      <sheetName val="Sheet3"/>
      <sheetName val="元データー"/>
      <sheetName val="通常発注書"/>
      <sheetName val="全体定番確定表"/>
      <sheetName val="生人台帳"/>
      <sheetName val="目次"/>
      <sheetName val="ｼｰﾄ1"/>
      <sheetName val="マスター"/>
      <sheetName val="POP&amp;什器"/>
      <sheetName val="単価は最低納価使用"/>
      <sheetName val="市場クレーム明細 "/>
      <sheetName val="与信一覧_(2)"/>
      <sheetName val="包材リスト"/>
      <sheetName val="初回納品"/>
      <sheetName val="POP申請フォーマット（ここに入力してください）"/>
      <sheetName val="_Recovered_SheetName_ 1_"/>
      <sheetName val="5-6月キャンペーン"/>
      <sheetName val="ケチャップ有り"/>
      <sheetName val="Ｃ’’表"/>
      <sheetName val="Ｃ’’’’表"/>
      <sheetName val="管理引当"/>
      <sheetName val="領収書"/>
      <sheetName val="編集用シート"/>
      <sheetName val="10.20-11.12"/>
      <sheetName val="検査結果一覧"/>
      <sheetName val="NST (4)"/>
      <sheetName val="12年■SAS計画（全店舗）■"/>
      <sheetName val="０５３合計"/>
      <sheetName val="　月次報告（数値データ）　"/>
      <sheetName val="日本チーム計算根拠"/>
      <sheetName val="②仙台"/>
      <sheetName val="①器具製作実績グラフ"/>
      <sheetName val="与信管理帳合"/>
      <sheetName val="粗利率順Wﾁｪｯｸ表"/>
      <sheetName val="板資材(M)"/>
      <sheetName val="入力"/>
      <sheetName val="①品名・梱包入力"/>
      <sheetName val="_REF"/>
      <sheetName val="健康ﾌｪｱ外注(ﾌﾞﾛｯｸ)"/>
      <sheetName val="仕様変更進捗（ＡＬＬ）"/>
      <sheetName val="ｷﾞﾌﾄ・ﾃﾅﾝﾄ除く"/>
      <sheetName val="基本量販店動向"/>
      <sheetName val="点数"/>
      <sheetName val="データ入力"/>
      <sheetName val="SEIｶﾗｰ"/>
      <sheetName val="売上(衣)"/>
      <sheetName val="原料ﾚｼﾋﾟ"/>
      <sheetName val="商品ﾏｽﾀｰ"/>
      <sheetName val="POP-YMDMH-ARI040930-1"/>
      <sheetName val="店別"/>
      <sheetName val="H9.1"/>
      <sheetName val="与信一覧_(2)1"/>
      <sheetName val="8510_(2)"/>
      <sheetName val="2000LISTｔｒｕｅ_1117"/>
      <sheetName val="Sheet1_(2)"/>
      <sheetName val="RD9508V_XLS"/>
      <sheetName val="市場クレーム明細_"/>
      <sheetName val="_Recovered_SheetName__1_"/>
      <sheetName val="10_20-11_12"/>
      <sheetName val="ﾌﾟﾚｾﾞﾝ資"/>
      <sheetName val="明細"/>
      <sheetName val="じんこうTOPICS"/>
      <sheetName val="Plan sbA"/>
      <sheetName val="ROI"/>
      <sheetName val="地域B"/>
      <sheetName val="G5"/>
      <sheetName val="D3"/>
      <sheetName val="大連製造ＶＡコストダウン金額纏め (＄1000以上)."/>
      <sheetName val="033"/>
      <sheetName val="Plan_sbA"/>
      <sheetName val="提供用EXCEL"/>
      <sheetName val="与信一覧_(2)2"/>
      <sheetName val="8510_(2)1"/>
      <sheetName val="2000LISTｔｒｕｅ_11171"/>
      <sheetName val="Sheet1_(2)1"/>
      <sheetName val="RD9508V_XLS1"/>
      <sheetName val="10_20-11_121"/>
      <sheetName val="Plan_sbA1"/>
      <sheetName val="市場クレーム明細_1"/>
      <sheetName val="不点灯交換の情報記載"/>
      <sheetName val="与信一覧_(2)3"/>
      <sheetName val="8510_(2)2"/>
      <sheetName val="2000LISTｔｒｕｅ_11172"/>
      <sheetName val="Sheet1_(2)2"/>
      <sheetName val="RD9508V_XLS2"/>
      <sheetName val="10_20-11_122"/>
      <sheetName val="Plan_sbA2"/>
      <sheetName val="市場クレーム明細_2"/>
      <sheetName val="日8L_B"/>
      <sheetName val="graph"/>
      <sheetName val="２月店舗経費実績"/>
      <sheetName val="１．社内ﾈｯﾄﾜｰｸﾊｰﾄﾞｳｪｱ"/>
      <sheetName val="検査結果一覧(日本受入)"/>
      <sheetName val="先行管理記入例"/>
      <sheetName val="全件リスト"/>
      <sheetName val="Ｃ実績①"/>
      <sheetName val="店舗マスタ"/>
      <sheetName val="部材表"/>
      <sheetName val="品目リスト"/>
      <sheetName val="営業所一覧"/>
      <sheetName val="LIST"/>
      <sheetName val="リスト"/>
      <sheetName val="SKU"/>
      <sheetName val="直送ｺﾝﾃﾅ管理表"/>
      <sheetName val="支給品一覧表"/>
      <sheetName val="価格表"/>
      <sheetName val="経費"/>
      <sheetName val="⑤弁当"/>
      <sheetName val="基本cvs動向"/>
      <sheetName val="証拠"/>
      <sheetName val="②東京"/>
      <sheetName val="②大阪"/>
      <sheetName val="本体バック"/>
      <sheetName val="SINAZ4月"/>
      <sheetName val="0606販売予測"/>
      <sheetName val="NST_(4)"/>
      <sheetName val="営業実績"/>
      <sheetName val="万田酵素モニター"/>
      <sheetName val="47下管理"/>
      <sheetName val="大容量ﾀｲﾌﾟ"/>
      <sheetName val="ダンジ"/>
      <sheetName val="商品一覧"/>
      <sheetName val="入金実96"/>
      <sheetName val="元データ"/>
      <sheetName val="品種別数量"/>
      <sheetName val="Ｃ'表"/>
      <sheetName val="廃番ﾃﾞｯﾄﾞ"/>
      <sheetName val="定数"/>
      <sheetName val="マスタ"/>
      <sheetName val="USA_3期グラフ"/>
      <sheetName val="【大連】部門損益"/>
      <sheetName val="11年度発生売上予算提出書類"/>
      <sheetName val="2401"/>
      <sheetName val="Macro1"/>
      <sheetName val="32.ＹＢ構成"/>
      <sheetName val="与信一覧_(2)4"/>
      <sheetName val="8510_(2)3"/>
      <sheetName val="2000LISTｔｒｕｅ_11173"/>
      <sheetName val="Sheet1_(2)3"/>
      <sheetName val="RD9508V_XLS3"/>
      <sheetName val="市場クレーム明細_3"/>
      <sheetName val="_Recovered_SheetName__1_1"/>
      <sheetName val="10_20-11_123"/>
      <sheetName val="NST_(4)1"/>
      <sheetName val="H9_1"/>
      <sheetName val="Plan_sbA3"/>
      <sheetName val="大連製造ＶＡコストダウン金額纏め_(＄1000以上)_"/>
      <sheetName val="外注トライ"/>
      <sheetName val="鳥栖"/>
      <sheetName val="Rent Roll"/>
      <sheetName val="Sheet2"/>
      <sheetName val="対象者リスト"/>
      <sheetName val="52wG部門ﾗﾝｷﾝｸﾞ"/>
      <sheetName val="0901"/>
      <sheetName val="0902"/>
      <sheetName val="0903"/>
      <sheetName val="0904"/>
      <sheetName val="0905"/>
      <sheetName val="0906"/>
      <sheetName val="0907"/>
      <sheetName val="0908"/>
      <sheetName val="0909"/>
      <sheetName val="0910"/>
      <sheetName val="0911"/>
      <sheetName val="0912"/>
      <sheetName val="●キャンペーン・企画ヒアリング"/>
      <sheetName val="形材部品マスター"/>
      <sheetName val="企画書"/>
      <sheetName val="受取配当金"/>
      <sheetName val="昨比データ"/>
      <sheetName val="クレジット決済"/>
      <sheetName val="Rent_Roll"/>
      <sheetName val="Sheet5"/>
      <sheetName val="Sheet6"/>
      <sheetName val="Sheet7"/>
      <sheetName val="Sheet8"/>
      <sheetName val="Sheet9"/>
      <sheetName val="売上速報19973"/>
      <sheetName val="ﾘｽﾄ"/>
      <sheetName val="エンド"/>
      <sheetName val="全国"/>
      <sheetName val="メニュー"/>
      <sheetName val="設定"/>
      <sheetName val="フリーダイヤル"/>
      <sheetName val="機種"/>
      <sheetName val="発信元課金"/>
      <sheetName val="帳票"/>
      <sheetName val="ST障害管理表"/>
      <sheetName val="ラックEXPO"/>
      <sheetName val="クロス昨年"/>
      <sheetName val="クロス売上"/>
      <sheetName val="入力用"/>
      <sheetName val="ｼﾞｬｽｺ商報"/>
      <sheetName val="集計①"/>
      <sheetName val="資材ＳＩＭ"/>
      <sheetName val="コード(腕時計)"/>
      <sheetName val="POP製作Ｂ"/>
      <sheetName val="PＯＰ制作Ａ新"/>
      <sheetName val="区分"/>
      <sheetName val="台湾～ｵﾏｰﾝ"/>
      <sheetName val="損益計画"/>
      <sheetName val="Wﾁｪｯｸ表"/>
      <sheetName val="share"/>
      <sheetName val="与信ｵｰﾊﾞｰ"/>
      <sheetName val="入力シート"/>
      <sheetName val="報告依頼部署"/>
      <sheetName val="メンテナンス受付台帳"/>
      <sheetName val="個数単価推移２００１"/>
      <sheetName val="HA実販"/>
      <sheetName val="部門別計画表"/>
      <sheetName val="ﾁｭｰﾘｯﾌﾟ"/>
      <sheetName val="ﾕﾘ"/>
      <sheetName val="ｽｲｾﾝ_ﾋﾔｼﾝｽ_ｸﾛｯｶｽ"/>
      <sheetName val="全件ﾘｽﾄ"/>
      <sheetName val="店舗情報"/>
      <sheetName val="30IY"/>
      <sheetName val="VIVA"/>
      <sheetName val="30VIVA"/>
      <sheetName val="ドイト"/>
      <sheetName val="30ドイト"/>
      <sheetName val="島忠"/>
      <sheetName val="30島忠"/>
      <sheetName val="貼付用"/>
      <sheetName val="家電担当者 "/>
      <sheetName val="Tp040611-2%"/>
      <sheetName val="集計シート(合算)"/>
      <sheetName val="与信一覧_(2)5"/>
      <sheetName val="8510_(2)4"/>
      <sheetName val="2000LISTｔｒｕｅ_11174"/>
      <sheetName val="Sheet1_(2)4"/>
      <sheetName val="RD9508V_XLS4"/>
      <sheetName val="10_20-11_124"/>
      <sheetName val="大連製造ＶＡコストダウン金額纏め_(＄1000以上)_1"/>
      <sheetName val="Plan_sbA4"/>
      <sheetName val="市場クレーム明細_4"/>
      <sheetName val="_Recovered_SheetName__1_2"/>
      <sheetName val="NST_(4)2"/>
      <sheetName val="H9_11"/>
      <sheetName val="Rent_Roll1"/>
      <sheetName val="32_ＹＢ構成"/>
      <sheetName val="カーサイクル"/>
      <sheetName val="tbl"/>
      <sheetName val="3_hashihara48"/>
      <sheetName val="42.ＹＢ構成"/>
      <sheetName val="月末"/>
      <sheetName val="⑧-2ﾊﾟﾀｰﾝ別店舗一覧"/>
      <sheetName val=""/>
      <sheetName val="与信一覧_(2)6"/>
      <sheetName val="8510_(2)5"/>
      <sheetName val="2000LISTｔｒｕｅ_11175"/>
      <sheetName val="Sheet1_(2)5"/>
      <sheetName val="RD9508V_XLS5"/>
      <sheetName val="10_20-11_125"/>
      <sheetName val="市場クレーム明細_5"/>
      <sheetName val="Plan_sbA5"/>
      <sheetName val="大連製造ＶＡコストダウン金額纏め_(＄1000以上)_2"/>
      <sheetName val="_Recovered_SheetName__1_3"/>
      <sheetName val="NST_(4)3"/>
      <sheetName val="H9_12"/>
      <sheetName val="Rent_Roll2"/>
      <sheetName val="32_ＹＢ構成1"/>
      <sheetName val="Product"/>
      <sheetName val="万代比数"/>
      <sheetName val="ﾌﾞﾗｼ梶"/>
      <sheetName val="アンケート集計(12.3）"/>
      <sheetName val="店舗（合算）"/>
      <sheetName val="全体AP資料10月(ＨＥ)"/>
      <sheetName val="taalcode"/>
      <sheetName val="見積書"/>
      <sheetName val="集計シート(IY)"/>
      <sheetName val="net_qty"/>
      <sheetName val="貼付画面1"/>
      <sheetName val="ﾌｰｽﾞ売荒"/>
      <sheetName val="作業"/>
      <sheetName val="０５"/>
      <sheetName val="新商品比率ｸﾞﾗﾌ"/>
      <sheetName val="開店"/>
      <sheetName val="商品台帳"/>
      <sheetName val="選択"/>
      <sheetName val="ライン・月別　品目数表"/>
      <sheetName val="店舗一覧"/>
      <sheetName val="検質報告書"/>
      <sheetName val="コンテナ事故報告"/>
      <sheetName val="業態"/>
      <sheetName val="仕入処理ルール"/>
      <sheetName val="事業部"/>
      <sheetName val="生産計画"/>
      <sheetName val="比較ヘッダー"/>
      <sheetName val="品種別計画表〈予算）"/>
      <sheetName val="ﾊｰﾄﾞ①【全データ】"/>
      <sheetName val="Sheet16"/>
      <sheetName val="0127000受注処理"/>
      <sheetName val="ﾁﾗｼ"/>
      <sheetName val="取引先等一覧"/>
      <sheetName val="広域２部３部結合"/>
      <sheetName val="01-072"/>
      <sheetName val="shtWork1"/>
      <sheetName val="銘柄７（浸透ﾗﾝｸ）"/>
      <sheetName val="印鑑捺印ﾏｸﾛ"/>
      <sheetName val="011101"/>
      <sheetName val="単価"/>
      <sheetName val="新MDPC納品状況（ＩＹ）"/>
      <sheetName val="区分値シート"/>
      <sheetName val="与信一覧_(2)7"/>
      <sheetName val="8510_(2)6"/>
      <sheetName val="2000LISTｔｒｕｅ_11176"/>
      <sheetName val="Sheet1_(2)6"/>
      <sheetName val="_Recovered_SheetName__1_4"/>
      <sheetName val="RD9508V_XLS6"/>
      <sheetName val="10_20-11_126"/>
      <sheetName val="市場クレーム明細_6"/>
      <sheetName val="Plan_sbA6"/>
      <sheetName val="NST_(4)4"/>
      <sheetName val="大連製造ＶＡコストダウン金額纏め_(＄1000以上)_3"/>
      <sheetName val="H9_13"/>
      <sheetName val="Rent_Roll3"/>
      <sheetName val="32_ＹＢ構成2"/>
      <sheetName val="台帳"/>
      <sheetName val="計算"/>
      <sheetName val="加工"/>
      <sheetName val="加工２"/>
      <sheetName val="第２章 1.食料品消費支出2"/>
      <sheetName val="商品マスタ"/>
      <sheetName val="店別売上構成比"/>
      <sheetName val="外食Z県別"/>
      <sheetName val="家電担当者_"/>
      <sheetName val="42_ＹＢ構成"/>
      <sheetName val="アンケート集計(12_3）"/>
      <sheetName val="MCDSS"/>
      <sheetName val="D28依頼書表紙"/>
      <sheetName val="JUUGYOUIN"/>
      <sheetName val="ｷﾞﾌﾄ"/>
      <sheetName val="選択項目一覧 "/>
      <sheetName val="加工シート"/>
      <sheetName val="溶接付加"/>
      <sheetName val="■13店別展開パターン表 (3)"/>
      <sheetName val="■13店別展開パターン表"/>
      <sheetName val="ＭG５５５、５５４チャンネル"/>
      <sheetName val="Sheet4"/>
      <sheetName val="プルダウンメニュー20190201"/>
      <sheetName val="プルダウンメニュー20190401"/>
      <sheetName val="窓枠ｾｯﾄR"/>
      <sheetName val="QRＳ"/>
      <sheetName val="イキプラ選定ラインクラス表"/>
      <sheetName val="契約上棟ｸﾞﾗﾌ"/>
      <sheetName val="貼付画面T"/>
      <sheetName val="貼付画面R"/>
      <sheetName val="週別主力商品(婦人)"/>
      <sheetName val="SIM00_SB"/>
      <sheetName val="クレーム解析記録"/>
      <sheetName val="比較表"/>
      <sheetName val="売上集計"/>
      <sheetName val="ﾏｽﾀｰ入･出力ｼｰﾄ"/>
      <sheetName val="プルダウン項目"/>
      <sheetName val="宅配伝票リスト"/>
      <sheetName val="APPLE"/>
      <sheetName val="H7昇格者"/>
      <sheetName val="市場規模"/>
      <sheetName val="分類一覧"/>
      <sheetName val="経費FMT 管理科目"/>
      <sheetName val="昨年比データ"/>
      <sheetName val="ワーク"/>
      <sheetName val="SC入替"/>
      <sheetName val="0801_03全体実績集計"/>
      <sheetName val="8.3～新商品"/>
      <sheetName val="ﾃﾞｰﾀｼｰﾄ"/>
      <sheetName val="06.05"/>
      <sheetName val="06.05イン"/>
      <sheetName val="06.05直営"/>
      <sheetName val="現状鳥栖 (事業部予測) "/>
      <sheetName val="データ"/>
      <sheetName val="ﾃﾞｰﾀ入力"/>
      <sheetName val="仕入計画AI8月"/>
      <sheetName val="商品構成ｸﾞﾗﾌ（売価別）"/>
      <sheetName val="○得計画"/>
      <sheetName val="平均単価"/>
      <sheetName val="選択項目"/>
      <sheetName val="ﾘﾍﾞｰﾄﾗﾝｸ2000"/>
      <sheetName val="確認完了報告"/>
      <sheetName val="布団乾燥機ｐｐｍ"/>
      <sheetName val="ﾏｽﾀｰ"/>
      <sheetName val="抽出_Pivot"/>
      <sheetName val="シート１"/>
      <sheetName val="業務依頼書"/>
      <sheetName val="3月消臭元"/>
      <sheetName val="外注データ(ここへ入力)"/>
      <sheetName val="ぶつﾏｽﾀｰ"/>
      <sheetName val="ディックＤ"/>
      <sheetName val="フジＤ"/>
      <sheetName val="事Ｄ"/>
      <sheetName val="月別落込(新店込)"/>
      <sheetName val="ＦＤ実績 "/>
      <sheetName val="㋱ＰＯＳｏｕｔ実績"/>
      <sheetName val="8月度メーカー比較"/>
      <sheetName val="201808実績"/>
      <sheetName val="201908実績"/>
      <sheetName val="前年比較"/>
      <sheetName val="盆金封"/>
      <sheetName val="軽減税率･ﾊﾝﾃﾞｨﾌｧﾝ"/>
      <sheetName val="STｹｼ･ﾋﾟｯﾄ"/>
      <sheetName val="STｹｼ比較"/>
      <sheetName val="6月度"/>
      <sheetName val="７月度 "/>
      <sheetName val="8月度"/>
      <sheetName val="マスク"/>
      <sheetName val="NJ基本data"/>
      <sheetName val="現場監督情報"/>
      <sheetName val="案件一覧控え"/>
      <sheetName val="発売済（価格表反映済）"/>
      <sheetName val="工事予算書"/>
      <sheetName val="YAMADA_TSUKUMO_分類比較"/>
      <sheetName val="アパート６６６０"/>
      <sheetName val="原紙"/>
      <sheetName val="現地通貨"/>
      <sheetName val="店舗P"/>
      <sheetName val="Front Cover 表紙（３SET）"/>
      <sheetName val="与信一覧_(2)8"/>
      <sheetName val="8510_(2)7"/>
      <sheetName val="2000LISTｔｒｕｅ_11177"/>
      <sheetName val="Sheet1_(2)7"/>
      <sheetName val="RD9508V_XLS7"/>
      <sheetName val="市場クレーム明細_7"/>
      <sheetName val="_Recovered_SheetName__1_5"/>
      <sheetName val="10_20-11_127"/>
      <sheetName val="NST_(4)5"/>
      <sheetName val="H9_14"/>
      <sheetName val="Plan_sbA7"/>
      <sheetName val="大連製造ＶＡコストダウン金額纏め_(＄1000以上)_4"/>
      <sheetName val="32_ＹＢ構成3"/>
      <sheetName val="Rent_Roll4"/>
      <sheetName val="家電担当者_1"/>
      <sheetName val="42_ＹＢ構成1"/>
      <sheetName val="アンケート集計(12_3）1"/>
      <sheetName val="第２章_1_食料品消費支出2"/>
      <sheetName val="■13店別展開パターン表_(3)"/>
      <sheetName val="選択項目一覧_"/>
      <sheetName val="経費FMT_管理科目"/>
      <sheetName val="8_3～新商品"/>
      <sheetName val="06_05"/>
      <sheetName val="06_05イン"/>
      <sheetName val="06_05直営"/>
      <sheetName val="現状鳥栖_(事業部予測)_"/>
      <sheetName val="ＦＤ実績_"/>
      <sheetName val="７月度_"/>
      <sheetName val="基本"/>
      <sheetName val="ﾌﾙｰﾂ村pet"/>
      <sheetName val="表紙数字"/>
      <sheetName val="第3四半期（完）"/>
      <sheetName val="弊社分類別実績"/>
      <sheetName val="貴社分類別別実績"/>
      <sheetName val="Catalog"/>
      <sheetName val="Settings"/>
      <sheetName val="一覧"/>
      <sheetName val="WORK"/>
      <sheetName val="予算・計画検証"/>
      <sheetName val="社員マスタ"/>
      <sheetName val="配荷目標"/>
      <sheetName val="新"/>
      <sheetName val="集計表"/>
      <sheetName val="人時予算"/>
      <sheetName val="与信一覧_(2)9"/>
      <sheetName val="8510_(2)8"/>
      <sheetName val="2000LISTｔｒｕｅ_11178"/>
      <sheetName val="Sheet1_(2)8"/>
      <sheetName val="RD9508V_XLS8"/>
      <sheetName val="10_20-11_128"/>
      <sheetName val="Plan_sbA8"/>
      <sheetName val="市場クレーム明細_8"/>
      <sheetName val="_Recovered_SheetName__1_6"/>
      <sheetName val="NST_(4)6"/>
      <sheetName val="大連製造ＶＡコストダウン金額纏め_(＄1000以上)_5"/>
      <sheetName val="H9_15"/>
      <sheetName val="Rent_Roll5"/>
      <sheetName val="32_ＹＢ構成4"/>
      <sheetName val="アンケート集計(12_3）2"/>
      <sheetName val="家電担当者_2"/>
      <sheetName val="42_ＹＢ構成2"/>
      <sheetName val="第２章_1_食料品消費支出21"/>
      <sheetName val="■13店別展開パターン表_(3)1"/>
      <sheetName val="選択項目一覧_1"/>
      <sheetName val="06_051"/>
      <sheetName val="06_05イン1"/>
      <sheetName val="06_05直営1"/>
      <sheetName val="現状鳥栖_(事業部予測)_1"/>
      <sheetName val="8_3～新商品1"/>
      <sheetName val="ＦＤ実績_1"/>
      <sheetName val="７月度_1"/>
      <sheetName val="経費FMT_管理科目1"/>
      <sheetName val="消すな！"/>
      <sheetName val="棚卸030203下田"/>
      <sheetName val="ＮＣ"/>
      <sheetName val="和風アイス調査アンケート結果"/>
      <sheetName val="部品分類明細"/>
      <sheetName val="部品分類明細 (2)"/>
      <sheetName val="日配マスター"/>
      <sheetName val="ParamCATE"/>
      <sheetName val="ParamCLASS"/>
      <sheetName val="ParamTENPO"/>
      <sheetName val="ParamBUMON"/>
      <sheetName val="設定画面"/>
      <sheetName val="つばさ保育園"/>
      <sheetName val="近文保育所"/>
      <sheetName val="いずみこども保育園"/>
      <sheetName val="慈光園保育所"/>
      <sheetName val="東神楽中央保育園"/>
      <sheetName val="神楽保育園 "/>
      <sheetName val="ふたばの庭"/>
      <sheetName val="商品マスター"/>
      <sheetName val="店舗リスト"/>
      <sheetName val="担当表"/>
      <sheetName val="改廃棚割商品ｶﾙﾃ1（要記入）"/>
      <sheetName val="地域 CD"/>
      <sheetName val="ﾃﾚｺTｼｬﾂ"/>
      <sheetName val="データ作成シート"/>
      <sheetName val="サマリ"/>
      <sheetName val="消耗品"/>
      <sheetName val="貸出比較"/>
      <sheetName val="仕入"/>
      <sheetName val="シミュレーションD1 "/>
      <sheetName val="Front_Cover_表紙（３SET）"/>
      <sheetName val="地域_CD"/>
      <sheetName val="富田貼"/>
      <sheetName val="数値生鮮フロア"/>
      <sheetName val="状態・数値割合"/>
      <sheetName val="数値フロア"/>
      <sheetName val="状態個人別"/>
      <sheetName val="主要港 10"/>
      <sheetName val="販促実績 (2)"/>
      <sheetName val="粗利リビングステージ"/>
      <sheetName val="粗利ｱﾚｺﾚ"/>
      <sheetName val="ほうれん草とﾍﾞｰｺﾝ"/>
      <sheetName val="商品規格書"/>
      <sheetName val="八  (2)"/>
      <sheetName val="青 (3)"/>
      <sheetName val="仙台"/>
      <sheetName val="関東 (2)"/>
      <sheetName val="関東"/>
      <sheetName val="札"/>
      <sheetName val="青 (2)"/>
      <sheetName val="八 "/>
      <sheetName val="二本松"/>
      <sheetName val="二本松 (2)"/>
      <sheetName val="二本松 (3)"/>
      <sheetName val="二本松 (4)"/>
      <sheetName val="メーカー欠品横持"/>
      <sheetName val="メーカー欠品拠点横持報告書（本社行）盛岡"/>
      <sheetName val="粗利ｱｳﾄﾚｯﾄ"/>
      <sheetName val="アレコレ予算"/>
      <sheetName val="シュミレーション"/>
      <sheetName val="2018 年間計画"/>
      <sheetName val="備考3"/>
      <sheetName val="2019 予算2"/>
      <sheetName val="2018 高松店方針"/>
      <sheetName val="2018売上粗利計画"/>
      <sheetName val="18年度販促計画 "/>
      <sheetName val="組織と担当"/>
      <sheetName val="地区別実績"/>
      <sheetName val="マッピング"/>
      <sheetName val="★展示構成表"/>
      <sheetName val="売上構成表"/>
      <sheetName val="2017年間実績"/>
      <sheetName val="月別売上計画"/>
      <sheetName val="月別粗利計画 "/>
      <sheetName val="在庫金額"/>
      <sheetName val="帳合表"/>
      <sheetName val="INS住まい"/>
      <sheetName val="区分表"/>
      <sheetName val="3"/>
      <sheetName val="与信一覧_(2)10"/>
      <sheetName val="8510_(2)9"/>
      <sheetName val="2000LISTｔｒｕｅ_11179"/>
      <sheetName val="Sheet1_(2)9"/>
      <sheetName val="RD9508V_XLS9"/>
      <sheetName val="_Recovered_SheetName__1_7"/>
      <sheetName val="10_20-11_129"/>
      <sheetName val="市場クレーム明細_9"/>
      <sheetName val="Plan_sbA9"/>
      <sheetName val="NST_(4)7"/>
      <sheetName val="大連製造ＶＡコストダウン金額纏め_(＄1000以上)_6"/>
      <sheetName val="H9_16"/>
      <sheetName val="Rent_Roll6"/>
      <sheetName val="32_ＹＢ構成5"/>
      <sheetName val="アンケート集計(12_3）3"/>
      <sheetName val="家電担当者_3"/>
      <sheetName val="42_ＹＢ構成3"/>
      <sheetName val="第２章_1_食料品消費支出22"/>
      <sheetName val="■13店別展開パターン表_(3)2"/>
      <sheetName val="選択項目一覧_2"/>
      <sheetName val="06_052"/>
      <sheetName val="06_05イン2"/>
      <sheetName val="06_05直営2"/>
      <sheetName val="現状鳥栖_(事業部予測)_2"/>
      <sheetName val="8_3～新商品2"/>
      <sheetName val="ＦＤ実績_2"/>
      <sheetName val="７月度_2"/>
      <sheetName val="経費FMT_管理科目2"/>
      <sheetName val="主要港_10"/>
      <sheetName val="販促実績_(2)"/>
      <sheetName val="対象内容"/>
      <sheetName val="Front_Cover_表紙（３SET）1"/>
      <sheetName val="地域_CD1"/>
      <sheetName val="S070080"/>
      <sheetName val="ﾁﾗｼ枚数"/>
      <sheetName val="S060204"/>
      <sheetName val="返答"/>
      <sheetName val="与信一覧_(2)11"/>
      <sheetName val="8510_(2)10"/>
      <sheetName val="2000LISTｔｒｕｅ_111710"/>
      <sheetName val="Sheet1_(2)10"/>
      <sheetName val="RD9508V_XLS10"/>
      <sheetName val="_Recovered_SheetName__1_8"/>
      <sheetName val="10_20-11_1210"/>
      <sheetName val="市場クレーム明細_10"/>
      <sheetName val="Plan_sbA10"/>
      <sheetName val="NST_(4)8"/>
      <sheetName val="大連製造ＶＡコストダウン金額纏め_(＄1000以上)_7"/>
      <sheetName val="H9_17"/>
      <sheetName val="Rent_Roll7"/>
      <sheetName val="32_ＹＢ構成6"/>
      <sheetName val="アンケート集計(12_3）4"/>
      <sheetName val="家電担当者_4"/>
      <sheetName val="42_ＹＢ構成4"/>
      <sheetName val="第２章_1_食料品消費支出23"/>
      <sheetName val="■13店別展開パターン表_(3)3"/>
      <sheetName val="選択項目一覧_3"/>
      <sheetName val="06_053"/>
      <sheetName val="06_05イン3"/>
      <sheetName val="06_05直営3"/>
      <sheetName val="現状鳥栖_(事業部予測)_3"/>
      <sheetName val="8_3～新商品3"/>
      <sheetName val="ＦＤ実績_3"/>
      <sheetName val="７月度_3"/>
      <sheetName val="経費FMT_管理科目3"/>
      <sheetName val="主要港_101"/>
      <sheetName val="販促実績_(2)1"/>
      <sheetName val="八__(2)"/>
      <sheetName val="青_(3)"/>
      <sheetName val="関東_(2)"/>
      <sheetName val="青_(2)"/>
      <sheetName val="八_"/>
      <sheetName val="二本松_(2)"/>
      <sheetName val="二本松_(3)"/>
      <sheetName val="二本松_(4)"/>
      <sheetName val="印刷用"/>
      <sheetName val="商品"/>
      <sheetName val="店在一覧"/>
      <sheetName val="ﾌﾟﾙﾀﾞｳﾝ"/>
      <sheetName val="ISF10+2"/>
      <sheetName val="ﾘｽﾄﾃﾞｰﾀ"/>
      <sheetName val="データ販路3層"/>
      <sheetName val="データ業種"/>
      <sheetName val="データ契約プラン"/>
      <sheetName val="データ販路2層"/>
      <sheetName val="データ営業担当（エリア）"/>
      <sheetName val="データ営業担当（MS）"/>
      <sheetName val="データ販路4層"/>
      <sheetName val="データプルダウン"/>
      <sheetName val="商品形名表"/>
      <sheetName val="OLAP"/>
      <sheetName val="従業員設定"/>
      <sheetName val="作業設定"/>
      <sheetName val="与信一覧_(2)12"/>
      <sheetName val="8510_(2)11"/>
      <sheetName val="2000LISTｔｒｕｅ_111711"/>
      <sheetName val="Sheet1_(2)11"/>
      <sheetName val="RD9508V_XLS11"/>
      <sheetName val="市場クレーム明細_11"/>
      <sheetName val="_Recovered_SheetName__1_9"/>
      <sheetName val="10_20-11_1211"/>
      <sheetName val="NST_(4)9"/>
      <sheetName val="H9_18"/>
      <sheetName val="Plan_sbA11"/>
      <sheetName val="大連製造ＶＡコストダウン金額纏め_(＄1000以上)_8"/>
      <sheetName val="32_ＹＢ構成7"/>
      <sheetName val="Rent_Roll8"/>
      <sheetName val="家電担当者_5"/>
      <sheetName val="42_ＹＢ構成5"/>
      <sheetName val="アンケート集計(12_3）5"/>
      <sheetName val="第２章_1_食料品消費支出24"/>
      <sheetName val="■13店別展開パターン表_(3)4"/>
      <sheetName val="選択項目一覧_4"/>
      <sheetName val="経費FMT_管理科目4"/>
      <sheetName val="8_3～新商品4"/>
      <sheetName val="06_054"/>
      <sheetName val="06_05イン4"/>
      <sheetName val="06_05直営4"/>
      <sheetName val="現状鳥栖_(事業部予測)_4"/>
      <sheetName val="ＦＤ実績_4"/>
      <sheetName val="７月度_4"/>
      <sheetName val="Front_Cover_表紙（３SET）2"/>
      <sheetName val="神楽保育園_"/>
      <sheetName val="部品分類明細_(2)"/>
      <sheetName val="地域_CD2"/>
      <sheetName val="シミュレーションD1_"/>
      <sheetName val="主要港_102"/>
      <sheetName val="販促実績_(2)2"/>
      <sheetName val="2018_年間計画"/>
      <sheetName val="2019_予算2"/>
      <sheetName val="2018_高松店方針"/>
      <sheetName val="18年度販促計画_"/>
      <sheetName val="月別粗利計画_"/>
      <sheetName val="八__(2)1"/>
      <sheetName val="青_(3)1"/>
      <sheetName val="関東_(2)1"/>
      <sheetName val="青_(2)1"/>
      <sheetName val="八_1"/>
      <sheetName val="二本松_(2)1"/>
      <sheetName val="二本松_(3)1"/>
      <sheetName val="二本松_(4)1"/>
      <sheetName val="日別予算"/>
      <sheetName val="Effort by Menu Item"/>
      <sheetName val="給与マスタ区分"/>
      <sheetName val="実績管理表"/>
      <sheetName val="実績管理表(商品別)"/>
      <sheetName val="商品群別販売計画(前期)"/>
      <sheetName val="実績管理表(店別)"/>
      <sheetName val="商品群別販売計画(後期)"/>
      <sheetName val="ﾄﾞﾛｯﾌﾟﾀﾞｳﾝ"/>
      <sheetName val="ｺｰﾄﾞ表"/>
      <sheetName val="商品名"/>
      <sheetName val="分類"/>
      <sheetName val="登録"/>
      <sheetName val="SPLDAT"/>
      <sheetName val="コクミン"/>
      <sheetName val="拠点"/>
      <sheetName val="原材料ｱｲﾃﾑﾏｽﾀｰ"/>
      <sheetName val="仕入数"/>
      <sheetName val="製造数"/>
      <sheetName val="製造ｱｲﾃﾑﾏｽﾀｰ"/>
      <sheetName val="在庫数"/>
      <sheetName val="原料内訳"/>
      <sheetName val="まとめ"/>
      <sheetName val="既存光源概要"/>
      <sheetName val="摘要ﾘｽﾄ"/>
      <sheetName val="Ｇ月間達成表"/>
      <sheetName val="Ｐ月間達成表"/>
      <sheetName val="祝日一覧"/>
      <sheetName val="与信一覧_(2)13"/>
      <sheetName val="8510_(2)12"/>
      <sheetName val="2000LISTｔｒｕｅ_111712"/>
      <sheetName val="Sheet1_(2)12"/>
      <sheetName val="RD9508V_XLS12"/>
      <sheetName val="市場クレーム明細_12"/>
      <sheetName val="_Recovered_SheetName__1_10"/>
      <sheetName val="10_20-11_1212"/>
      <sheetName val="NST_(4)10"/>
      <sheetName val="H9_19"/>
      <sheetName val="Plan_sbA12"/>
      <sheetName val="大連製造ＶＡコストダウン金額纏め_(＄1000以上)_9"/>
      <sheetName val="32_ＹＢ構成8"/>
      <sheetName val="Rent_Roll9"/>
      <sheetName val="家電担当者_6"/>
      <sheetName val="42_ＹＢ構成6"/>
      <sheetName val="アンケート集計(12_3）6"/>
      <sheetName val="第２章_1_食料品消費支出25"/>
      <sheetName val="■13店別展開パターン表_(3)5"/>
      <sheetName val="選択項目一覧_5"/>
      <sheetName val="経費FMT_管理科目5"/>
      <sheetName val="06_055"/>
      <sheetName val="06_05イン5"/>
      <sheetName val="06_05直営5"/>
      <sheetName val="現状鳥栖_(事業部予測)_5"/>
      <sheetName val="8_3～新商品5"/>
      <sheetName val="ＦＤ実績_5"/>
      <sheetName val="７月度_5"/>
      <sheetName val="Front_Cover_表紙（３SET）3"/>
      <sheetName val="神楽保育園_1"/>
      <sheetName val="部品分類明細_(2)1"/>
      <sheetName val="地域_CD3"/>
      <sheetName val="主要港_103"/>
      <sheetName val="販促実績_(2)3"/>
      <sheetName val="2018_年間計画1"/>
      <sheetName val="2019_予算21"/>
      <sheetName val="2018_高松店方針1"/>
      <sheetName val="18年度販促計画_1"/>
      <sheetName val="月別粗利計画_1"/>
      <sheetName val="八__(2)2"/>
      <sheetName val="青_(3)2"/>
      <sheetName val="関東_(2)2"/>
      <sheetName val="青_(2)2"/>
      <sheetName val="八_2"/>
      <sheetName val="二本松_(2)2"/>
      <sheetName val="二本松_(3)2"/>
      <sheetName val="二本松_(4)2"/>
      <sheetName val="シミュレーションD1_1"/>
      <sheetName val="Effort_by_Menu_Item"/>
      <sheetName val="WK"/>
      <sheetName val="Sheet15"/>
      <sheetName val="Sheet18"/>
      <sheetName val="ダニー店別"/>
      <sheetName val="ワンプッシュ初動"/>
      <sheetName val="既存器具情報"/>
      <sheetName val="【自動計算】ﾗﾝﾌﾟ元ﾃﾞｰﾀ"/>
      <sheetName val="シミュレーションD1_3"/>
      <sheetName val="部品分類明細_(2)3"/>
      <sheetName val="神楽保育園_3"/>
      <sheetName val="八__(2)3"/>
      <sheetName val="青_(3)3"/>
      <sheetName val="関東_(2)3"/>
      <sheetName val="青_(2)3"/>
      <sheetName val="八_3"/>
      <sheetName val="二本松_(2)3"/>
      <sheetName val="二本松_(3)3"/>
      <sheetName val="二本松_(4)3"/>
      <sheetName val="2018_年間計画3"/>
      <sheetName val="2019_予算23"/>
      <sheetName val="2018_高松店方針3"/>
      <sheetName val="18年度販促計画_3"/>
      <sheetName val="月別粗利計画_3"/>
      <sheetName val="シミュレーションD1_2"/>
      <sheetName val="部品分類明細_(2)2"/>
      <sheetName val="神楽保育園_2"/>
      <sheetName val="2018_年間計画2"/>
      <sheetName val="2019_予算22"/>
      <sheetName val="2018_高松店方針2"/>
      <sheetName val="18年度販促計画_2"/>
      <sheetName val="月別粗利計画_2"/>
      <sheetName val="エリア別既存"/>
      <sheetName val="依頼種別"/>
      <sheetName val="入力規則"/>
      <sheetName val="小口項目"/>
      <sheetName val="(削除禁止)日販ｸﾞﾗﾌ⑩"/>
      <sheetName val="調査シート"/>
      <sheetName val="ﾊﾟｯｹｰｼﾞ"/>
      <sheetName val="与信一覧_(2)14"/>
      <sheetName val="8510_(2)13"/>
      <sheetName val="2000LISTｔｒｕｅ_111713"/>
      <sheetName val="Sheet1_(2)13"/>
      <sheetName val="RD9508V_XLS13"/>
      <sheetName val="市場クレーム明細_13"/>
      <sheetName val="_Recovered_SheetName__1_11"/>
      <sheetName val="10_20-11_1213"/>
      <sheetName val="Plan_sbA13"/>
      <sheetName val="NST_(4)11"/>
      <sheetName val="大連製造ＶＡコストダウン金額纏め_(＄1000以上)_10"/>
      <sheetName val="H9_110"/>
      <sheetName val="Rent_Roll10"/>
      <sheetName val="32_ＹＢ構成9"/>
      <sheetName val="42_ＹＢ構成7"/>
      <sheetName val="家電担当者_7"/>
      <sheetName val="アンケート集計(12_3）7"/>
      <sheetName val="第２章_1_食料品消費支出26"/>
      <sheetName val="■13店別展開パターン表_(3)6"/>
      <sheetName val="06_056"/>
      <sheetName val="06_05イン6"/>
      <sheetName val="06_05直営6"/>
      <sheetName val="現状鳥栖_(事業部予測)_6"/>
      <sheetName val="選択項目一覧_6"/>
      <sheetName val="経費FMT_管理科目6"/>
      <sheetName val="8_3～新商品6"/>
      <sheetName val="ＦＤ実績_6"/>
      <sheetName val="７月度_6"/>
      <sheetName val="Front_Cover_表紙（３SET）4"/>
      <sheetName val="シミュレーションD1_4"/>
      <sheetName val="部品分類明細_(2)4"/>
      <sheetName val="神楽保育園_4"/>
      <sheetName val="主要港_104"/>
      <sheetName val="販促実績_(2)4"/>
      <sheetName val="地域_CD4"/>
      <sheetName val="八__(2)4"/>
      <sheetName val="青_(3)4"/>
      <sheetName val="関東_(2)4"/>
      <sheetName val="青_(2)4"/>
      <sheetName val="八_4"/>
      <sheetName val="二本松_(2)4"/>
      <sheetName val="二本松_(3)4"/>
      <sheetName val="二本松_(4)4"/>
      <sheetName val="2018_年間計画4"/>
      <sheetName val="2019_予算24"/>
      <sheetName val="2018_高松店方針4"/>
      <sheetName val="18年度販促計画_4"/>
      <sheetName val="月別粗利計画_4"/>
      <sheetName val="■電器"/>
      <sheetName val="MIS"/>
      <sheetName val="ブランドリスト"/>
      <sheetName val="Effort_by_Menu_Item1"/>
      <sheetName val="損益計画(2022年)"/>
      <sheetName val="園芸一覧"/>
      <sheetName val="データ貼り付け（0372176-84を貼り付け）"/>
      <sheetName val="店舗割表"/>
      <sheetName val="\\nas028\c\Volumes\Data\進行中データ\"/>
      <sheetName val="\Volumes\Data\進行中データ\アイリス148\14"/>
      <sheetName val="⑤優先順位表"/>
      <sheetName val="課題⑨"/>
      <sheetName val="回答電話番号リスト"/>
      <sheetName val="年間１"/>
      <sheetName val="年間１ (2)"/>
      <sheetName val="参）種別リスト"/>
      <sheetName val="tenso"/>
      <sheetName val="週別主力商品(婦쟀⢦"/>
      <sheetName val="週別主力商品(婦蒘 "/>
      <sheetName val="週別主力商品(婦터⪉"/>
      <sheetName val="週別主力商品(婦悈䅂"/>
      <sheetName val="週別主力商品(婦镸〾"/>
      <sheetName val="週別主力商品(婦䦘᧚"/>
      <sheetName val="週別主力商品(婦偐㵓"/>
      <sheetName val="現地_x0002__x0000_"/>
      <sheetName val="サブカテデータ売上累積"/>
      <sheetName val="従業員マスタメンテ"/>
      <sheetName val="Sheet368"/>
      <sheetName val="Sheet1009"/>
      <sheetName val="売価納価ｻｲｽﾞ "/>
      <sheetName val="ＥＯＳ一覧"/>
      <sheetName val="売価JANMST"/>
      <sheetName val="棚割表"/>
      <sheetName val="03"/>
      <sheetName val="04"/>
      <sheetName val="98-12"/>
      <sheetName val="週別部門別実績 (2)"/>
      <sheetName val="[RD9508V.XLS]__nas028_c_Volum_2"/>
      <sheetName val="[RD9508V.XLS]_Volumes_Data____2"/>
      <sheetName val="CAL"/>
      <sheetName val="調理試験"/>
      <sheetName val="ﾃﾞｻﾞｲﾝ申請書 Backend"/>
      <sheetName val="ﾏｰｹｯﾄ概要"/>
      <sheetName val="入力規制"/>
      <sheetName val="Sheet372"/>
      <sheetName val="Sheet1011"/>
      <sheetName val="対象者"/>
      <sheetName val="ラベル表"/>
      <sheetName val="3Q ｲﾝﾃ"/>
      <sheetName val="[RD9508V.XLS]__nas028_c_Volum_3"/>
      <sheetName val="[RD9508V.XLS]_Volumes_Data____3"/>
      <sheetName val="[RD9508V.XLS]__nas028_c_Volum_4"/>
      <sheetName val="[RD9508V.XLS]_Volumes_Data____4"/>
      <sheetName val="与信一覧_(2)15"/>
      <sheetName val="8510_(2)14"/>
      <sheetName val="2000LISTｔｒｕｅ_111714"/>
      <sheetName val="Sheet1_(2)14"/>
      <sheetName val="市場クレーム明細_14"/>
      <sheetName val="RD9508V_XLS14"/>
      <sheetName val="_Recovered_SheetName__1_12"/>
      <sheetName val="10_20-11_1214"/>
      <sheetName val="NST_(4)12"/>
      <sheetName val="H9_111"/>
      <sheetName val="Plan_sbA14"/>
      <sheetName val="大連製造ＶＡコストダウン金額纏め_(＄1000以上)_11"/>
      <sheetName val="Rent_Roll11"/>
      <sheetName val="32_ＹＢ構成10"/>
      <sheetName val="家電担当者_8"/>
      <sheetName val="42_ＹＢ構成8"/>
      <sheetName val="アンケート集計(12_3）8"/>
      <sheetName val="第２章_1_食料品消費支出27"/>
      <sheetName val="選択項目一覧_7"/>
      <sheetName val="■13店別展開パターン表_(3)7"/>
      <sheetName val="経費FMT_管理科目7"/>
      <sheetName val="8_3～新商品7"/>
      <sheetName val="06_057"/>
      <sheetName val="06_05イン7"/>
      <sheetName val="06_05直営7"/>
      <sheetName val="現状鳥栖_(事業部予測)_7"/>
      <sheetName val="ＦＤ実績_7"/>
      <sheetName val="７月度_7"/>
      <sheetName val="Front_Cover_表紙（３SET）5"/>
      <sheetName val="部品分類明細_(2)5"/>
      <sheetName val="神楽保育園_5"/>
      <sheetName val="地域_CD5"/>
      <sheetName val="シミュレーションD1_5"/>
      <sheetName val="主要港_105"/>
      <sheetName val="販促実績_(2)5"/>
      <sheetName val="八__(2)5"/>
      <sheetName val="青_(3)5"/>
      <sheetName val="関東_(2)5"/>
      <sheetName val="青_(2)5"/>
      <sheetName val="八_5"/>
      <sheetName val="二本松_(2)5"/>
      <sheetName val="二本松_(3)5"/>
      <sheetName val="二本松_(4)5"/>
      <sheetName val="2018_年間計画5"/>
      <sheetName val="2019_予算25"/>
      <sheetName val="2018_高松店方針5"/>
      <sheetName val="18年度販促計画_5"/>
      <sheetName val="月別粗利計画_5"/>
      <sheetName val="Effort_by_Menu_Item2"/>
      <sheetName val="年間１_(2)"/>
      <sheetName val="現地"/>
      <sheetName val="売価納価ｻｲｽﾞ_"/>
      <sheetName val="連結決算書（BS）※3か月"/>
      <sheetName val="AH_Sensor_data"/>
      <sheetName val="code_list"/>
      <sheetName val="IR_Sensor_data"/>
      <sheetName val="H12春_1"/>
      <sheetName val="全件反映リスト"/>
      <sheetName val="Sheet371"/>
      <sheetName val="Sheet10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 refreshError="1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/>
      <sheetData sheetId="651" refreshError="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 refreshError="1"/>
      <sheetData sheetId="686" refreshError="1"/>
      <sheetData sheetId="687" refreshError="1"/>
      <sheetData sheetId="688" refreshError="1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 refreshError="1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 refreshError="1"/>
      <sheetData sheetId="994" refreshError="1"/>
      <sheetData sheetId="995" refreshError="1"/>
      <sheetData sheetId="996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/>
      <sheetData sheetId="1038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/>
      <sheetData sheetId="1105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基本"/>
      <sheetName val="estimate"/>
      <sheetName val="TP"/>
      <sheetName val="経費管理"/>
      <sheetName val="納売価"/>
      <sheetName val="GSV目標"/>
      <sheetName val="納価目標"/>
      <sheetName val="ﾌﾟﾛﾓｰｼｮﾝ"/>
      <sheetName val="ﾊﾞﾄﾙﾌﾟﾗﾝ"/>
      <sheetName val="ﾌﾞﾗﾝﾄﾞ昨対比"/>
      <sheetName val="ﾌﾞﾗﾝﾄﾞ実績(ｸﾞﾗﾌ)"/>
      <sheetName val="構成比"/>
      <sheetName val="住所録"/>
      <sheetName val="基本(修正)"/>
      <sheetName val="estimate(修正)"/>
      <sheetName val="TP(修正)"/>
      <sheetName val="GSV目標 (修正含み)"/>
      <sheetName val="経費管理(修正)"/>
      <sheetName val="2000年 春NEW"/>
      <sheetName val="RD9501V"/>
      <sheetName val="HQ"/>
      <sheetName val="更新版"/>
      <sheetName val="データ入力"/>
      <sheetName val="11wG部門ﾗﾝｷﾝｸﾞ"/>
      <sheetName val="Ｃ’表"/>
      <sheetName val="NEW95G2"/>
      <sheetName val="RD9505A"/>
      <sheetName val="#REF"/>
      <sheetName val="表3"/>
      <sheetName val="HE(他）"/>
      <sheetName val="稼働率グラフ（立体）"/>
      <sheetName val="13年度発生売上予算"/>
      <sheetName val="全合計"/>
      <sheetName val="得意先実績(LEDｼｰﾘﾝｸﾞ)"/>
      <sheetName val="A"/>
      <sheetName val="POP&amp;什器"/>
      <sheetName val="ﾘﾃｰﾙ1"/>
      <sheetName val="43"/>
      <sheetName val="P1実績①"/>
      <sheetName val="昨対"/>
      <sheetName val="SEASON"/>
      <sheetName val="SBプラ鉢"/>
      <sheetName val="GSV目標_(修正含み)"/>
      <sheetName val="2000年_春NEW"/>
      <sheetName val="不使用者"/>
      <sheetName val="溶接付加"/>
      <sheetName val="容量別シェア（年別）　"/>
      <sheetName val="与信一覧 (2)"/>
      <sheetName val="ｱｸｾｽｸﾞﾗﾌ"/>
      <sheetName val="鳥栖"/>
      <sheetName val="GSV目標_(修正含み)1"/>
      <sheetName val="2000年_春NEW1"/>
      <sheetName val="GSV目標_(修正含み)2"/>
      <sheetName val="2000年_春NEW2"/>
      <sheetName val="与信一覧_(2)"/>
      <sheetName val="オーダー残（Supplyer) のコピー"/>
      <sheetName val="個店"/>
      <sheetName val="GSV目標_(修正含み)3"/>
      <sheetName val="2000年_春NEW3"/>
      <sheetName val="与信一覧_(2)1"/>
      <sheetName val="オーダー残（Supplyer)_のコピー"/>
      <sheetName val="表紙"/>
      <sheetName val="対象製品"/>
      <sheetName val="Ｃ’’’’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B4">
            <v>9709</v>
          </cell>
          <cell r="C4">
            <v>19585</v>
          </cell>
          <cell r="D4">
            <v>11982</v>
          </cell>
          <cell r="E4">
            <v>16932</v>
          </cell>
          <cell r="F4">
            <v>20084</v>
          </cell>
          <cell r="G4">
            <v>25368</v>
          </cell>
          <cell r="H4">
            <v>11967</v>
          </cell>
          <cell r="I4">
            <v>21430</v>
          </cell>
          <cell r="J4">
            <v>29603</v>
          </cell>
          <cell r="K4">
            <v>14154</v>
          </cell>
          <cell r="L4">
            <v>25000</v>
          </cell>
          <cell r="M4">
            <v>22500</v>
          </cell>
        </row>
        <row r="5">
          <cell r="B5" t="str">
            <v> </v>
          </cell>
          <cell r="C5" t="str">
            <v> </v>
          </cell>
          <cell r="D5" t="str">
            <v> </v>
          </cell>
          <cell r="E5" t="str">
            <v> </v>
          </cell>
          <cell r="F5" t="str">
            <v> </v>
          </cell>
          <cell r="G5" t="str">
            <v> </v>
          </cell>
          <cell r="H5" t="str">
            <v> </v>
          </cell>
          <cell r="I5" t="str">
            <v> </v>
          </cell>
          <cell r="J5" t="str">
            <v> </v>
          </cell>
          <cell r="K5" t="str">
            <v> </v>
          </cell>
          <cell r="L5" t="str">
            <v> </v>
          </cell>
          <cell r="M5" t="str">
            <v> 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RD9501V"/>
      <sheetName val="RD9505A"/>
      <sheetName val="RD9508V"/>
      <sheetName val="与信一覧 (2)"/>
      <sheetName val="ｵｰﾀﾞｰ"/>
      <sheetName val="0310"/>
      <sheetName val="#REF"/>
      <sheetName val="NEW95G2"/>
      <sheetName val="配荷"/>
      <sheetName val="住所録"/>
      <sheetName val="1"/>
      <sheetName val="全合計"/>
      <sheetName val="竹四つ目垣"/>
      <sheetName val="13年度発生売上予算"/>
      <sheetName val="昨対"/>
      <sheetName val="CM予定表(～2012年3月）"/>
      <sheetName val="Sheet1"/>
      <sheetName val="更新版"/>
      <sheetName val="8510 (2)"/>
      <sheetName val="GSV目標"/>
      <sheetName val="HQ"/>
      <sheetName val="Ｃ’表"/>
      <sheetName val="表3"/>
      <sheetName val="para"/>
      <sheetName val="shere"/>
      <sheetName val="25DJ40"/>
      <sheetName val="HE(他）"/>
      <sheetName val="目次"/>
      <sheetName val="マスター"/>
      <sheetName val="PAK6263"/>
      <sheetName val="ｼｰﾄ1"/>
      <sheetName val="#REF!"/>
      <sheetName val="POP&amp;什器"/>
      <sheetName val="ENGEI"/>
      <sheetName val="ぺっと"/>
      <sheetName val="収納"/>
      <sheetName val="工具"/>
      <sheetName val="カー用品"/>
      <sheetName val="日用品"/>
      <sheetName val="全社"/>
      <sheetName val="RD9505O"/>
      <sheetName val="[RD9"/>
      <sheetName val="_RD9"/>
      <sheetName val="5月"/>
      <sheetName val="改廃一覧社外秘"/>
      <sheetName val="端末設置状況"/>
      <sheetName val="手順①追加修正連絡票"/>
      <sheetName val="涼味"/>
      <sheetName val="トレンド表"/>
      <sheetName val="西川繊維２０９ニトリ在庫報告"/>
      <sheetName val="43"/>
      <sheetName val="おでん"/>
      <sheetName val="国勢DATA1"/>
      <sheetName val="国勢DATA2"/>
      <sheetName val="国勢DATA3"/>
      <sheetName val="国勢DATA県"/>
      <sheetName val="消費DATA1"/>
      <sheetName val="消費DATA2"/>
      <sheetName val="消費DATA3"/>
      <sheetName val="消費DATA県"/>
      <sheetName val="入力リスト"/>
      <sheetName val="図8"/>
      <sheetName val="ﾄﾞｯﾄｺﾑ"/>
      <sheetName val="行楽ﾌｪｱ"/>
      <sheetName val="表紙"/>
      <sheetName val="仕訳①"/>
      <sheetName val="媒体管理表"/>
      <sheetName val="shtBuff"/>
      <sheetName val="copy1"/>
      <sheetName val="好調不調"/>
      <sheetName val="大型店版"/>
      <sheetName val="収納・インテ"/>
      <sheetName val="ｱｸｾｽｸﾞﾗﾌ"/>
      <sheetName val="仕入先"/>
      <sheetName val="対象製品"/>
      <sheetName val="ﾃﾞｰﾀ"/>
      <sheetName val="提案書"/>
      <sheetName val="Ｗｅｂｱﾝｹｰﾄ①"/>
      <sheetName val="Ｗｅｂｱﾝｹｰﾄ②"/>
      <sheetName val="data"/>
      <sheetName val="ﾊｰﾄﾞｵﾌｨｽ価格表"/>
      <sheetName val="一覧表"/>
      <sheetName val="CPU"/>
      <sheetName val="12月"/>
      <sheetName val="043"/>
      <sheetName val="046"/>
      <sheetName val="055"/>
      <sheetName val="ﾃﾞｰﾀｲﾝﾌﾟｯﾄ欄"/>
      <sheetName val="dptFMT"/>
      <sheetName val="事FMT"/>
      <sheetName val="調FMT"/>
      <sheetName val="ｶﾃ"/>
      <sheetName val="Control"/>
      <sheetName val="8以上社員"/>
      <sheetName val="規格書"/>
      <sheetName val="人口移動第４表"/>
      <sheetName val="13_hashihara01"/>
      <sheetName val="29_hashihara13"/>
      <sheetName val="大人12"/>
      <sheetName val="A"/>
      <sheetName val="入力フォーム"/>
      <sheetName val="１業種"/>
      <sheetName val="宛名"/>
      <sheetName val="ExChange"/>
      <sheetName val="社外秘；HCﾋﾞｼﾞﾈｽﾁｬﾝｽ"/>
      <sheetName val="11wG部門ﾗﾝｷﾝｸﾞ"/>
      <sheetName val="販売目標"/>
      <sheetName val="バックデータ"/>
      <sheetName val="SBプラ鉢"/>
      <sheetName val="2000LISTｔｒｕｅ 1117"/>
      <sheetName val="SKU_31"/>
      <sheetName val="実績・予測"/>
      <sheetName val="北空貼"/>
      <sheetName val="累計出荷実績"/>
      <sheetName val="Sheet1 (2)"/>
      <sheetName val="記入ﾌｫｰﾑ"/>
      <sheetName val="管理引当"/>
      <sheetName val="Ｃ’’表"/>
      <sheetName val="４週指示"/>
      <sheetName val="営業所８"/>
      <sheetName val="RD9508V.XLS"/>
      <sheetName val="１"/>
      <sheetName val="新ﾗｲﾝ(部品展開)"/>
      <sheetName val="ｲﾎﾞ竹販売数調整"/>
      <sheetName val="管理引当金"/>
      <sheetName val="P1実績①"/>
      <sheetName val="Sheet3"/>
      <sheetName val="元データー"/>
      <sheetName val="提出用EXCEL"/>
      <sheetName val="検査結果一覧"/>
      <sheetName val="通常発注書"/>
      <sheetName val="全体定番確定表"/>
      <sheetName val="生人台帳"/>
      <sheetName val="単価は最低納価使用"/>
      <sheetName val="市場クレーム明細 "/>
      <sheetName val="与信一覧_(2)"/>
      <sheetName val="包材リスト"/>
      <sheetName val="初回納品"/>
      <sheetName val="領収書"/>
      <sheetName val="編集用シート"/>
      <sheetName val="　月次報告（数値データ）　"/>
      <sheetName val="Ｃ’’’’表"/>
      <sheetName val="5-6月キャンペーン"/>
      <sheetName val="_Recovered_SheetName_ 1_"/>
      <sheetName val="10.20-11.12"/>
      <sheetName val="与信一覧_(2)1"/>
      <sheetName val="8510_(2)"/>
      <sheetName val="2000LISTｔｒｕｅ_1117"/>
      <sheetName val="Sheet1_(2)"/>
      <sheetName val="RD9508V_XLS"/>
      <sheetName val="市場クレーム明細_"/>
      <sheetName val="D3"/>
      <sheetName val="検査結果一覧(日本受入)"/>
      <sheetName val="０５３合計"/>
      <sheetName val="日本チーム計算根拠"/>
      <sheetName val="Plan sbA"/>
      <sheetName val="ROI"/>
      <sheetName val="NST (4)"/>
      <sheetName val="12年■SAS計画（全店舗）■"/>
      <sheetName val="POP申請フォーマット（ここに入力してください）"/>
      <sheetName val="033"/>
      <sheetName val="10_20-11_12"/>
      <sheetName val="Plan_sbA"/>
      <sheetName val="提供用EXCEL"/>
      <sheetName val="与信一覧_(2)2"/>
      <sheetName val="8510_(2)1"/>
      <sheetName val="2000LISTｔｒｕｅ_11171"/>
      <sheetName val="Sheet1_(2)1"/>
      <sheetName val="RD9508V_XLS1"/>
      <sheetName val="10_20-11_121"/>
      <sheetName val="Plan_sbA1"/>
      <sheetName val="市場クレーム明細_1"/>
      <sheetName val="与信一覧_(2)3"/>
      <sheetName val="8510_(2)2"/>
      <sheetName val="2000LISTｔｒｕｅ_11172"/>
      <sheetName val="Sheet1_(2)2"/>
      <sheetName val="RD9508V_XLS2"/>
      <sheetName val="10_20-11_122"/>
      <sheetName val="Plan_sbA2"/>
      <sheetName val="市場クレーム明細_2"/>
      <sheetName val="大連製造ＶＡコストダウン金額纏め (＄1000以上)."/>
      <sheetName val="不点灯交換の情報記載"/>
      <sheetName val="２月店舗経費実績"/>
      <sheetName val="１．社内ﾈｯﾄﾜｰｸﾊｰﾄﾞｳｪｱ"/>
      <sheetName val="先行管理記入例"/>
      <sheetName val="ケチャップ有り"/>
      <sheetName val="_REF"/>
      <sheetName val="健康ﾌｪｱ外注(ﾌﾞﾛｯｸ)"/>
      <sheetName val="仕様変更進捗（ＡＬＬ）"/>
      <sheetName val="ｷﾞﾌﾄ・ﾃﾅﾝﾄ除く"/>
      <sheetName val="基本量販店動向"/>
      <sheetName val="点数"/>
      <sheetName val="データ入力"/>
      <sheetName val="SEIｶﾗｰ"/>
      <sheetName val="売上(衣)"/>
      <sheetName val="原料ﾚｼﾋﾟ"/>
      <sheetName val="商品ﾏｽﾀｰ"/>
      <sheetName val="POP-YMDMH-ARI040930-1"/>
      <sheetName val="②仙台"/>
      <sheetName val="①器具製作実績グラフ"/>
      <sheetName val="与信管理帳合"/>
      <sheetName val="粗利率順Wﾁｪｯｸ表"/>
      <sheetName val="板資材(M)"/>
      <sheetName val="入力"/>
      <sheetName val="①品名・梱包入力"/>
      <sheetName val="店別"/>
      <sheetName val="H9.1"/>
      <sheetName val="_Recovered_SheetName__1_"/>
      <sheetName val="日8L_B"/>
      <sheetName val="Ｃ実績①"/>
      <sheetName val="店舗マスタ"/>
      <sheetName val="graph"/>
      <sheetName val="支給品一覧表"/>
      <sheetName val="ﾌﾟﾚｾﾞﾝ資"/>
      <sheetName val="じんこうTOPICS"/>
      <sheetName val="全件リスト"/>
      <sheetName val="SKU"/>
      <sheetName val="明細"/>
      <sheetName val="営業実績"/>
      <sheetName val="本体バック"/>
      <sheetName val="万田酵素モニター"/>
      <sheetName val="②東京"/>
      <sheetName val="②大阪"/>
      <sheetName val="直送ｺﾝﾃﾅ管理表"/>
      <sheetName val="価格表"/>
      <sheetName val="経費"/>
      <sheetName val="地域B"/>
      <sheetName val="G5"/>
      <sheetName val="部材表"/>
      <sheetName val="品目リスト"/>
      <sheetName val="与信一覧_(2)4"/>
      <sheetName val="8510_(2)3"/>
      <sheetName val="2000LISTｔｒｕｅ_11173"/>
      <sheetName val="RD9508V_XLS3"/>
      <sheetName val="Sheet1_(2)3"/>
      <sheetName val="市場クレーム明細_3"/>
      <sheetName val="_Recovered_SheetName__1_1"/>
      <sheetName val="10_20-11_123"/>
      <sheetName val="Plan_sbA3"/>
      <sheetName val="NST_(4)"/>
      <sheetName val="大連製造ＶＡコストダウン金額纏め_(＄1000以上)_"/>
      <sheetName val="H9_1"/>
      <sheetName val="SINAZ4月"/>
      <sheetName val="0606販売予測"/>
      <sheetName val="営業所一覧"/>
      <sheetName val="LIST"/>
      <sheetName val="リスト"/>
      <sheetName val="証拠"/>
      <sheetName val="⑤弁当"/>
      <sheetName val="基本cvs動向"/>
      <sheetName val="商品一覧"/>
      <sheetName val="47下管理"/>
      <sheetName val="大容量ﾀｲﾌﾟ"/>
      <sheetName val="USA_3期グラフ"/>
      <sheetName val="【大連】部門損益"/>
      <sheetName val="11年度発生売上予算提出書類"/>
      <sheetName val="2401"/>
      <sheetName val="Macro1"/>
      <sheetName val="廃番ﾃﾞｯﾄﾞ"/>
      <sheetName val="ダンジ"/>
      <sheetName val="品種別数量"/>
      <sheetName val="入金実96"/>
      <sheetName val="元データ"/>
      <sheetName val="鳥栖"/>
      <sheetName val="Ｃ'表"/>
      <sheetName val="Rent Roll"/>
      <sheetName val="定数"/>
      <sheetName val="マスタ"/>
      <sheetName val="Sheet2"/>
      <sheetName val="帳票"/>
      <sheetName val="NST_(4)1"/>
      <sheetName val="外注トライ"/>
      <sheetName val="クレジット決済"/>
      <sheetName val="32.ＹＢ構成"/>
      <sheetName val="0901"/>
      <sheetName val="0902"/>
      <sheetName val="0903"/>
      <sheetName val="0904"/>
      <sheetName val="0905"/>
      <sheetName val="0906"/>
      <sheetName val="0907"/>
      <sheetName val="0908"/>
      <sheetName val="0909"/>
      <sheetName val="0910"/>
      <sheetName val="0911"/>
      <sheetName val="0912"/>
      <sheetName val="対象者リスト"/>
      <sheetName val="受取配当金"/>
      <sheetName val="share"/>
      <sheetName val="形材部品マスター"/>
      <sheetName val="企画書"/>
      <sheetName val="52wG部門ﾗﾝｷﾝｸﾞ"/>
      <sheetName val="●キャンペーン・企画ヒアリング"/>
      <sheetName val="昨比データ"/>
      <sheetName val="メニュー"/>
      <sheetName val="設定"/>
      <sheetName val="フリーダイヤル"/>
      <sheetName val="機種"/>
      <sheetName val="発信元課金"/>
      <sheetName val="Rent_Roll"/>
      <sheetName val="Sheet5"/>
      <sheetName val="Sheet6"/>
      <sheetName val="Sheet7"/>
      <sheetName val="Sheet8"/>
      <sheetName val="Sheet9"/>
      <sheetName val="ST障害管理表"/>
      <sheetName val="42.ＹＢ構成"/>
      <sheetName val="資材ＳＩＭ"/>
      <sheetName val="Wﾁｪｯｸ表"/>
      <sheetName val="コード(腕時計)"/>
      <sheetName val="POP製作Ｂ"/>
      <sheetName val="PＯＰ制作Ａ新"/>
      <sheetName val="区分"/>
      <sheetName val="台湾～ｵﾏｰﾝ"/>
      <sheetName val="損益計画"/>
      <sheetName val="売上速報19973"/>
      <sheetName val="全国"/>
      <sheetName val="ﾘｽﾄ"/>
      <sheetName val="エンド"/>
      <sheetName val="ラックEXPO"/>
      <sheetName val="クロス昨年"/>
      <sheetName val="クロス売上"/>
      <sheetName val="入力用"/>
      <sheetName val="ｼﾞｬｽｺ商報"/>
      <sheetName val="集計①"/>
      <sheetName val="与信ｵｰﾊﾞｰ"/>
      <sheetName val="入力シート"/>
      <sheetName val="報告依頼部署"/>
      <sheetName val="メンテナンス受付台帳"/>
      <sheetName val="個数単価推移２００１"/>
      <sheetName val="tbl"/>
      <sheetName val="カーサイクル"/>
      <sheetName val="3_hashihara48"/>
      <sheetName val="与信一覧_(2)5"/>
      <sheetName val="8510_(2)4"/>
      <sheetName val="2000LISTｔｒｕｅ_11174"/>
      <sheetName val="Sheet1_(2)4"/>
      <sheetName val="RD9508V_XLS4"/>
      <sheetName val="10_20-11_124"/>
      <sheetName val="大連製造ＶＡコストダウン金額纏め_(＄1000以上)_1"/>
      <sheetName val="Plan_sbA4"/>
      <sheetName val="市場クレーム明細_4"/>
      <sheetName val="_Recovered_SheetName__1_2"/>
      <sheetName val="NST_(4)2"/>
      <sheetName val="H9_11"/>
      <sheetName val="Rent_Roll1"/>
      <sheetName val="32_ＹＢ構成"/>
      <sheetName val="⑧-2ﾊﾟﾀｰﾝ別店舗一覧"/>
      <sheetName val="ﾌﾞﾗｼ梶"/>
      <sheetName val="アンケート集計(12.3）"/>
      <sheetName val="HA実販"/>
      <sheetName val="部門別計画表"/>
      <sheetName val="30IY"/>
      <sheetName val="VIVA"/>
      <sheetName val="30VIVA"/>
      <sheetName val="ドイト"/>
      <sheetName val="30ドイト"/>
      <sheetName val="島忠"/>
      <sheetName val="30島忠"/>
      <sheetName val="貼付用"/>
      <sheetName val="家電担当者 "/>
      <sheetName val="Tp040611-2%"/>
      <sheetName val="集計シート(合算)"/>
      <sheetName val="ﾁｭｰﾘｯﾌﾟ"/>
      <sheetName val="ﾕﾘ"/>
      <sheetName val="ｽｲｾﾝ_ﾋﾔｼﾝｽ_ｸﾛｯｶｽ"/>
      <sheetName val="全件ﾘｽﾄ"/>
      <sheetName val="店舗情報"/>
      <sheetName val="月末"/>
      <sheetName val="万代比数"/>
      <sheetName val=""/>
      <sheetName val="taalcode"/>
      <sheetName val="Product"/>
      <sheetName val="全体AP資料10月(ＨＥ)"/>
      <sheetName val="与信一覧_(2)6"/>
      <sheetName val="8510_(2)5"/>
      <sheetName val="2000LISTｔｒｕｅ_11175"/>
      <sheetName val="Sheet1_(2)5"/>
      <sheetName val="RD9508V_XLS5"/>
      <sheetName val="10_20-11_125"/>
      <sheetName val="市場クレーム明細_5"/>
      <sheetName val="Plan_sbA5"/>
      <sheetName val="大連製造ＶＡコストダウン金額纏め_(＄1000以上)_2"/>
      <sheetName val="_Recovered_SheetName__1_3"/>
      <sheetName val="NST_(4)3"/>
      <sheetName val="H9_12"/>
      <sheetName val="Rent_Roll2"/>
      <sheetName val="32_ＹＢ構成1"/>
      <sheetName val="店舗（合算）"/>
      <sheetName val="見積書"/>
      <sheetName val="集計シート(IY)"/>
      <sheetName val="net_qty"/>
      <sheetName val="０５"/>
      <sheetName val="業態"/>
      <sheetName val="仕入処理ルール"/>
      <sheetName val="作業"/>
      <sheetName val="新商品比率ｸﾞﾗﾌ"/>
      <sheetName val="事業部"/>
      <sheetName val="開店"/>
      <sheetName val="貼付画面1"/>
      <sheetName val="ﾌｰｽﾞ売荒"/>
      <sheetName val="店舗一覧"/>
      <sheetName val="検質報告書"/>
      <sheetName val="コンテナ事故報告"/>
      <sheetName val="ﾊｰﾄﾞ①【全データ】"/>
      <sheetName val="生産計画"/>
      <sheetName val="選択"/>
      <sheetName val="商品台帳"/>
      <sheetName val="ライン・月別　品目数表"/>
      <sheetName val="Sheet16"/>
      <sheetName val="011101"/>
      <sheetName val="品種別計画表〈予算）"/>
      <sheetName val="広域２部３部結合"/>
      <sheetName val="比較ヘッダー"/>
      <sheetName val="0127000受注処理"/>
      <sheetName val="ﾁﾗｼ"/>
      <sheetName val="取引先等一覧"/>
      <sheetName val="01-072"/>
      <sheetName val="shtWork1"/>
      <sheetName val="銘柄７（浸透ﾗﾝｸ）"/>
      <sheetName val="印鑑捺印ﾏｸﾛ"/>
      <sheetName val="プルダウンメニュー20190201"/>
      <sheetName val="プルダウンメニュー20190401"/>
      <sheetName val="単価"/>
      <sheetName val="新MDPC納品状況（ＩＹ）"/>
      <sheetName val="与信一覧_(2)7"/>
      <sheetName val="8510_(2)6"/>
      <sheetName val="2000LISTｔｒｕｅ_11176"/>
      <sheetName val="Sheet1_(2)6"/>
      <sheetName val="_Recovered_SheetName__1_4"/>
      <sheetName val="RD9508V_XLS6"/>
      <sheetName val="10_20-11_126"/>
      <sheetName val="市場クレーム明細_6"/>
      <sheetName val="Plan_sbA6"/>
      <sheetName val="NST_(4)4"/>
      <sheetName val="大連製造ＶＡコストダウン金額纏め_(＄1000以上)_3"/>
      <sheetName val="H9_13"/>
      <sheetName val="Rent_Roll3"/>
      <sheetName val="32_ＹＢ構成2"/>
      <sheetName val="台帳"/>
      <sheetName val="区分値シート"/>
      <sheetName val="計算"/>
      <sheetName val="加工"/>
      <sheetName val="加工２"/>
      <sheetName val="第２章 1.食料品消費支出2"/>
      <sheetName val="商品マスタ"/>
      <sheetName val="店別売上構成比"/>
      <sheetName val="外食Z県別"/>
      <sheetName val="家電担当者_"/>
      <sheetName val="42_ＹＢ構成"/>
      <sheetName val="アンケート集計(12_3）"/>
      <sheetName val="D28依頼書表紙"/>
      <sheetName val="JUUGYOUIN"/>
      <sheetName val="ｷﾞﾌﾄ"/>
      <sheetName val="加工シート"/>
      <sheetName val="溶接付加"/>
      <sheetName val="■13店別展開パターン表 (3)"/>
      <sheetName val="■13店別展開パターン表"/>
      <sheetName val="ＭG５５５、５５４チャンネル"/>
      <sheetName val="窓枠ｾｯﾄR"/>
      <sheetName val="QRＳ"/>
      <sheetName val="06.05"/>
      <sheetName val="06.05イン"/>
      <sheetName val="06.05直営"/>
      <sheetName val="現状鳥栖 (事業部予測) "/>
      <sheetName val="MCDSS"/>
      <sheetName val="選択項目一覧 "/>
      <sheetName val="Sheet4"/>
      <sheetName val="SIM00_SB"/>
      <sheetName val="データ"/>
      <sheetName val="ﾃﾞｰﾀ入力"/>
      <sheetName val="仕入計画AI8月"/>
      <sheetName val="クレーム解析記録"/>
      <sheetName val="比較表"/>
      <sheetName val="商品構成ｸﾞﾗﾌ（売価別）"/>
      <sheetName val="売上集計"/>
      <sheetName val="ﾏｽﾀｰ入･出力ｼｰﾄ"/>
      <sheetName val="プルダウン項目"/>
      <sheetName val="宅配伝票リスト"/>
      <sheetName val="APPLE"/>
      <sheetName val="H7昇格者"/>
      <sheetName val="イキプラ選定ラインクラス表"/>
      <sheetName val="契約上棟ｸﾞﾗﾌ"/>
      <sheetName val="貼付画面T"/>
      <sheetName val="貼付画面R"/>
      <sheetName val="○得計画"/>
      <sheetName val="確認完了報告"/>
      <sheetName val="市場規模"/>
      <sheetName val="週別主力商品(婦人)"/>
      <sheetName val="分類一覧"/>
      <sheetName val="選択項目"/>
      <sheetName val="平均単価"/>
      <sheetName val="経費FMT 管理科目"/>
      <sheetName val="昨年比データ"/>
      <sheetName val="ワーク"/>
      <sheetName val="SC入替"/>
      <sheetName val="0801_03全体実績集計"/>
      <sheetName val="8.3～新商品"/>
      <sheetName val="ﾃﾞｰﾀｼｰﾄ"/>
      <sheetName val="ﾏｽﾀｰ"/>
      <sheetName val="ぶつﾏｽﾀｰ"/>
      <sheetName val="ディックＤ"/>
      <sheetName val="フジＤ"/>
      <sheetName val="事Ｄ"/>
      <sheetName val="シート１"/>
      <sheetName val="抽出_Pivot"/>
      <sheetName val="3月消臭元"/>
      <sheetName val="外注データ(ここへ入力)"/>
      <sheetName val="布団乾燥機ｐｐｍ"/>
      <sheetName val="発売済（価格表反映済）"/>
      <sheetName val="NJ基本data"/>
      <sheetName val="現場監督情報"/>
      <sheetName val="案件一覧控え"/>
      <sheetName val="月別落込(新店込)"/>
      <sheetName val="ＦＤ実績 "/>
      <sheetName val="㋱ＰＯＳｏｕｔ実績"/>
      <sheetName val="8月度メーカー比較"/>
      <sheetName val="201808実績"/>
      <sheetName val="201908実績"/>
      <sheetName val="前年比較"/>
      <sheetName val="盆金封"/>
      <sheetName val="軽減税率･ﾊﾝﾃﾞｨﾌｧﾝ"/>
      <sheetName val="STｹｼ･ﾋﾟｯﾄ"/>
      <sheetName val="STｹｼ比較"/>
      <sheetName val="6月度"/>
      <sheetName val="７月度 "/>
      <sheetName val="8月度"/>
      <sheetName val="マスク"/>
      <sheetName val="業務依頼書"/>
      <sheetName val="ﾘﾍﾞｰﾄﾗﾝｸ2000"/>
      <sheetName val="工事予算書"/>
      <sheetName val="YAMADA_TSUKUMO_分類比較"/>
      <sheetName val="アパート６６６０"/>
      <sheetName val="原紙"/>
      <sheetName val="一覧"/>
      <sheetName val="Front Cover 表紙（３SET）"/>
      <sheetName val="第3四半期（完）"/>
      <sheetName val="弊社分類別実績"/>
      <sheetName val="貴社分類別別実績"/>
      <sheetName val="貸出比較"/>
      <sheetName val="現地通貨"/>
      <sheetName val="店舗P"/>
      <sheetName val="与信一覧_(2)8"/>
      <sheetName val="8510_(2)7"/>
      <sheetName val="2000LISTｔｒｕｅ_11177"/>
      <sheetName val="Sheet1_(2)7"/>
      <sheetName val="RD9508V_XLS7"/>
      <sheetName val="市場クレーム明細_7"/>
      <sheetName val="_Recovered_SheetName__1_5"/>
      <sheetName val="10_20-11_127"/>
      <sheetName val="NST_(4)5"/>
      <sheetName val="H9_14"/>
      <sheetName val="Plan_sbA7"/>
      <sheetName val="大連製造ＶＡコストダウン金額纏め_(＄1000以上)_4"/>
      <sheetName val="32_ＹＢ構成3"/>
      <sheetName val="Rent_Roll4"/>
      <sheetName val="家電担当者_1"/>
      <sheetName val="42_ＹＢ構成1"/>
      <sheetName val="アンケート集計(12_3）1"/>
      <sheetName val="第２章_1_食料品消費支出2"/>
      <sheetName val="■13店別展開パターン表_(3)"/>
      <sheetName val="選択項目一覧_"/>
      <sheetName val="経費FMT_管理科目"/>
      <sheetName val="8_3～新商品"/>
      <sheetName val="06_05"/>
      <sheetName val="06_05イン"/>
      <sheetName val="06_05直営"/>
      <sheetName val="現状鳥栖_(事業部予測)_"/>
      <sheetName val="ＦＤ実績_"/>
      <sheetName val="７月度_"/>
      <sheetName val="基本"/>
      <sheetName val="ﾌﾙｰﾂ村pet"/>
      <sheetName val="表紙数字"/>
      <sheetName val="Catalog"/>
      <sheetName val="Settings"/>
      <sheetName val="与信一覧_(2)9"/>
      <sheetName val="8510_(2)8"/>
      <sheetName val="2000LISTｔｒｕｅ_11178"/>
      <sheetName val="Sheet1_(2)8"/>
      <sheetName val="RD9508V_XLS8"/>
      <sheetName val="10_20-11_128"/>
      <sheetName val="Plan_sbA8"/>
      <sheetName val="市場クレーム明細_8"/>
      <sheetName val="_Recovered_SheetName__1_6"/>
      <sheetName val="NST_(4)6"/>
      <sheetName val="大連製造ＶＡコストダウン金額纏め_(＄1000以上)_5"/>
      <sheetName val="H9_15"/>
      <sheetName val="Rent_Roll5"/>
      <sheetName val="32_ＹＢ構成4"/>
      <sheetName val="アンケート集計(12_3）2"/>
      <sheetName val="家電担当者_2"/>
      <sheetName val="42_ＹＢ構成2"/>
      <sheetName val="第２章_1_食料品消費支出21"/>
      <sheetName val="■13店別展開パターン表_(3)1"/>
      <sheetName val="選択項目一覧_1"/>
      <sheetName val="06_051"/>
      <sheetName val="06_05イン1"/>
      <sheetName val="06_05直営1"/>
      <sheetName val="現状鳥栖_(事業部予測)_1"/>
      <sheetName val="8_3～新商品1"/>
      <sheetName val="ＦＤ実績_1"/>
      <sheetName val="７月度_1"/>
      <sheetName val="経費FMT_管理科目1"/>
      <sheetName val="消すな！"/>
      <sheetName val="棚卸030203下田"/>
      <sheetName val="ＮＣ"/>
      <sheetName val="配荷目標"/>
      <sheetName val="新"/>
      <sheetName val="集計表"/>
      <sheetName val="人時予算"/>
      <sheetName val="ﾃﾚｺTｼｬﾂ"/>
      <sheetName val="データ作成シート"/>
      <sheetName val="仕入"/>
      <sheetName val="シミュレーションD1 "/>
      <sheetName val="和風アイス調査アンケート結果"/>
      <sheetName val="WORK"/>
      <sheetName val="予算・計画検証"/>
      <sheetName val="サマリ"/>
      <sheetName val="社員マスタ"/>
      <sheetName val="部品分類明細"/>
      <sheetName val="部品分類明細 (2)"/>
      <sheetName val="日配マスター"/>
      <sheetName val="ParamCATE"/>
      <sheetName val="ParamCLASS"/>
      <sheetName val="ParamTENPO"/>
      <sheetName val="ParamBUMON"/>
      <sheetName val="設定画面"/>
      <sheetName val="つばさ保育園"/>
      <sheetName val="近文保育所"/>
      <sheetName val="いずみこども保育園"/>
      <sheetName val="慈光園保育所"/>
      <sheetName val="東神楽中央保育園"/>
      <sheetName val="神楽保育園 "/>
      <sheetName val="ふたばの庭"/>
      <sheetName val="商品マスター"/>
      <sheetName val="店舗リスト"/>
      <sheetName val="担当表"/>
      <sheetName val="消耗品"/>
      <sheetName val="富田貼"/>
      <sheetName val="数値生鮮フロア"/>
      <sheetName val="状態・数値割合"/>
      <sheetName val="数値フロア"/>
      <sheetName val="状態個人別"/>
      <sheetName val="主要港 10"/>
      <sheetName val="販促実績 (2)"/>
      <sheetName val="粗利リビングステージ"/>
      <sheetName val="粗利ｱﾚｺﾚ"/>
      <sheetName val="改廃棚割商品ｶﾙﾃ1（要記入）"/>
      <sheetName val="地域 CD"/>
      <sheetName val="ほうれん草とﾍﾞｰｺﾝ"/>
      <sheetName val="商品規格書"/>
      <sheetName val="八  (2)"/>
      <sheetName val="青 (3)"/>
      <sheetName val="仙台"/>
      <sheetName val="関東 (2)"/>
      <sheetName val="関東"/>
      <sheetName val="札"/>
      <sheetName val="青 (2)"/>
      <sheetName val="八 "/>
      <sheetName val="二本松"/>
      <sheetName val="二本松 (2)"/>
      <sheetName val="二本松 (3)"/>
      <sheetName val="二本松 (4)"/>
      <sheetName val="メーカー欠品横持"/>
      <sheetName val="メーカー欠品拠点横持報告書（本社行）盛岡"/>
      <sheetName val="粗利ｱｳﾄﾚｯﾄ"/>
      <sheetName val="アレコレ予算"/>
      <sheetName val="シュミレーション"/>
      <sheetName val="2018 年間計画"/>
      <sheetName val="備考3"/>
      <sheetName val="2019 予算2"/>
      <sheetName val="2018 高松店方針"/>
      <sheetName val="2018売上粗利計画"/>
      <sheetName val="18年度販促計画 "/>
      <sheetName val="組織と担当"/>
      <sheetName val="地区別実績"/>
      <sheetName val="マッピング"/>
      <sheetName val="★展示構成表"/>
      <sheetName val="売上構成表"/>
      <sheetName val="2017年間実績"/>
      <sheetName val="月別売上計画"/>
      <sheetName val="月別粗利計画 "/>
      <sheetName val="在庫金額"/>
      <sheetName val="INS住まい"/>
      <sheetName val="区分表"/>
      <sheetName val="3"/>
      <sheetName val="与信一覧_(2)10"/>
      <sheetName val="8510_(2)9"/>
      <sheetName val="2000LISTｔｒｕｅ_11179"/>
      <sheetName val="Sheet1_(2)9"/>
      <sheetName val="RD9508V_XLS9"/>
      <sheetName val="_Recovered_SheetName__1_7"/>
      <sheetName val="10_20-11_129"/>
      <sheetName val="市場クレーム明細_9"/>
      <sheetName val="Plan_sbA9"/>
      <sheetName val="NST_(4)7"/>
      <sheetName val="大連製造ＶＡコストダウン金額纏め_(＄1000以上)_6"/>
      <sheetName val="H9_16"/>
      <sheetName val="Rent_Roll6"/>
      <sheetName val="32_ＹＢ構成5"/>
      <sheetName val="アンケート集計(12_3）3"/>
      <sheetName val="家電担当者_3"/>
      <sheetName val="42_ＹＢ構成3"/>
      <sheetName val="第２章_1_食料品消費支出22"/>
      <sheetName val="■13店別展開パターン表_(3)2"/>
      <sheetName val="選択項目一覧_2"/>
      <sheetName val="06_052"/>
      <sheetName val="06_05イン2"/>
      <sheetName val="06_05直営2"/>
      <sheetName val="現状鳥栖_(事業部予測)_2"/>
      <sheetName val="8_3～新商品2"/>
      <sheetName val="ＦＤ実績_2"/>
      <sheetName val="７月度_2"/>
      <sheetName val="経費FMT_管理科目2"/>
      <sheetName val="主要港_10"/>
      <sheetName val="販促実績_(2)"/>
      <sheetName val="Front_Cover_表紙（３SET）"/>
      <sheetName val="データ販路3層"/>
      <sheetName val="データ業種"/>
      <sheetName val="データ契約プラン"/>
      <sheetName val="データ販路2層"/>
      <sheetName val="データ営業担当（エリア）"/>
      <sheetName val="データ営業担当（MS）"/>
      <sheetName val="データ販路4層"/>
      <sheetName val="データプルダウン"/>
      <sheetName val="与信一覧_(2)11"/>
      <sheetName val="8510_(2)10"/>
      <sheetName val="2000LISTｔｒｕｅ_111710"/>
      <sheetName val="Sheet1_(2)10"/>
      <sheetName val="RD9508V_XLS10"/>
      <sheetName val="_Recovered_SheetName__1_8"/>
      <sheetName val="10_20-11_1210"/>
      <sheetName val="市場クレーム明細_10"/>
      <sheetName val="Plan_sbA10"/>
      <sheetName val="NST_(4)8"/>
      <sheetName val="大連製造ＶＡコストダウン金額纏め_(＄1000以上)_7"/>
      <sheetName val="H9_17"/>
      <sheetName val="Rent_Roll7"/>
      <sheetName val="32_ＹＢ構成6"/>
      <sheetName val="アンケート集計(12_3）4"/>
      <sheetName val="家電担当者_4"/>
      <sheetName val="42_ＹＢ構成4"/>
      <sheetName val="第２章_1_食料品消費支出23"/>
      <sheetName val="■13店別展開パターン表_(3)3"/>
      <sheetName val="選択項目一覧_3"/>
      <sheetName val="06_053"/>
      <sheetName val="06_05イン3"/>
      <sheetName val="06_05直営3"/>
      <sheetName val="現状鳥栖_(事業部予測)_3"/>
      <sheetName val="8_3～新商品3"/>
      <sheetName val="ＦＤ実績_3"/>
      <sheetName val="７月度_3"/>
      <sheetName val="経費FMT_管理科目3"/>
      <sheetName val="主要港_101"/>
      <sheetName val="販促実績_(2)1"/>
      <sheetName val="Front_Cover_表紙（３SET）1"/>
      <sheetName val="八__(2)"/>
      <sheetName val="青_(3)"/>
      <sheetName val="関東_(2)"/>
      <sheetName val="青_(2)"/>
      <sheetName val="八_"/>
      <sheetName val="二本松_(2)"/>
      <sheetName val="二本松_(3)"/>
      <sheetName val="二本松_(4)"/>
      <sheetName val="商品"/>
      <sheetName val="S060204"/>
      <sheetName val="店在一覧"/>
      <sheetName val="ﾁﾗｼ枚数"/>
      <sheetName val="地域_CD"/>
      <sheetName val="帳合表"/>
      <sheetName val="S070080"/>
      <sheetName val="返答"/>
      <sheetName val="地域_CD1"/>
      <sheetName val="対象内容"/>
      <sheetName val="印刷用"/>
      <sheetName val="ﾘｽﾄﾃﾞｰﾀ"/>
      <sheetName val="商品形名表"/>
      <sheetName val="OLAP"/>
      <sheetName val="Effort by Menu Item"/>
      <sheetName val="給与マスタ区分"/>
      <sheetName val="ﾌﾟﾙﾀﾞｳﾝ"/>
      <sheetName val="ISF10+2"/>
      <sheetName val="実績管理表"/>
      <sheetName val="実績管理表(商品別)"/>
      <sheetName val="商品群別販売計画(前期)"/>
      <sheetName val="実績管理表(店別)"/>
      <sheetName val="商品群別販売計画(後期)"/>
      <sheetName val="ﾄﾞﾛｯﾌﾟﾀﾞｳﾝ"/>
      <sheetName val="ｺｰﾄﾞ表"/>
      <sheetName val="登録"/>
      <sheetName val="SPLDAT"/>
      <sheetName val="コクミン"/>
      <sheetName val="拠点"/>
      <sheetName val="原材料ｱｲﾃﾑﾏｽﾀｰ"/>
      <sheetName val="仕入数"/>
      <sheetName val="製造数"/>
      <sheetName val="製造ｱｲﾃﾑﾏｽﾀｰ"/>
      <sheetName val="在庫数"/>
      <sheetName val="原料内訳"/>
      <sheetName val="与信一覧_(2)12"/>
      <sheetName val="8510_(2)11"/>
      <sheetName val="2000LISTｔｒｕｅ_111711"/>
      <sheetName val="Sheet1_(2)11"/>
      <sheetName val="RD9508V_XLS11"/>
      <sheetName val="市場クレーム明細_11"/>
      <sheetName val="_Recovered_SheetName__1_9"/>
      <sheetName val="10_20-11_1211"/>
      <sheetName val="Plan_sbA11"/>
      <sheetName val="NST_(4)9"/>
      <sheetName val="大連製造ＶＡコストダウン金額纏め_(＄1000以上)_8"/>
      <sheetName val="H9_18"/>
      <sheetName val="Rent_Roll8"/>
      <sheetName val="32_ＹＢ構成7"/>
      <sheetName val="42_ＹＢ構成5"/>
      <sheetName val="家電担当者_5"/>
      <sheetName val="アンケート集計(12_3）5"/>
      <sheetName val="第２章_1_食料品消費支出24"/>
      <sheetName val="■13店別展開パターン表_(3)4"/>
      <sheetName val="06_054"/>
      <sheetName val="06_05イン4"/>
      <sheetName val="06_05直営4"/>
      <sheetName val="現状鳥栖_(事業部予測)_4"/>
      <sheetName val="選択項目一覧_4"/>
      <sheetName val="経費FMT_管理科目4"/>
      <sheetName val="8_3～新商品4"/>
      <sheetName val="ＦＤ実績_4"/>
      <sheetName val="７月度_4"/>
      <sheetName val="Front_Cover_表紙（３SET）2"/>
      <sheetName val="シミュレーションD1_"/>
      <sheetName val="部品分類明細_(2)"/>
      <sheetName val="神楽保育園_"/>
      <sheetName val="主要港_102"/>
      <sheetName val="販促実績_(2)2"/>
      <sheetName val="地域_CD2"/>
      <sheetName val="八__(2)1"/>
      <sheetName val="青_(3)1"/>
      <sheetName val="関東_(2)1"/>
      <sheetName val="青_(2)1"/>
      <sheetName val="八_1"/>
      <sheetName val="二本松_(2)1"/>
      <sheetName val="二本松_(3)1"/>
      <sheetName val="二本松_(4)1"/>
      <sheetName val="2018_年間計画"/>
      <sheetName val="2019_予算2"/>
      <sheetName val="2018_高松店方針"/>
      <sheetName val="18年度販促計画_"/>
      <sheetName val="月別粗利計画_"/>
      <sheetName val="与信一覧_(2)13"/>
      <sheetName val="8510_(2)12"/>
      <sheetName val="2000LISTｔｒｕｅ_111712"/>
      <sheetName val="Sheet1_(2)12"/>
      <sheetName val="RD9508V_XLS12"/>
      <sheetName val="市場クレーム明細_12"/>
      <sheetName val="_Recovered_SheetName__1_10"/>
      <sheetName val="10_20-11_1212"/>
      <sheetName val="Plan_sbA12"/>
      <sheetName val="NST_(4)10"/>
      <sheetName val="大連製造ＶＡコストダウン金額纏め_(＄1000以上)_9"/>
      <sheetName val="H9_19"/>
      <sheetName val="Rent_Roll9"/>
      <sheetName val="32_ＹＢ構成8"/>
      <sheetName val="42_ＹＢ構成6"/>
      <sheetName val="家電担当者_6"/>
      <sheetName val="アンケート集計(12_3）6"/>
      <sheetName val="第２章_1_食料品消費支出25"/>
      <sheetName val="■13店別展開パターン表_(3)5"/>
      <sheetName val="06_055"/>
      <sheetName val="06_05イン5"/>
      <sheetName val="06_05直営5"/>
      <sheetName val="現状鳥栖_(事業部予測)_5"/>
      <sheetName val="選択項目一覧_5"/>
      <sheetName val="経費FMT_管理科目5"/>
      <sheetName val="8_3～新商品5"/>
      <sheetName val="ＦＤ実績_5"/>
      <sheetName val="７月度_5"/>
      <sheetName val="Front_Cover_表紙（３SET）3"/>
      <sheetName val="シミュレーションD1_3"/>
      <sheetName val="部品分類明細_(2)3"/>
      <sheetName val="神楽保育園_3"/>
      <sheetName val="主要港_103"/>
      <sheetName val="販促実績_(2)3"/>
      <sheetName val="地域_CD3"/>
      <sheetName val="八__(2)3"/>
      <sheetName val="青_(3)3"/>
      <sheetName val="関東_(2)3"/>
      <sheetName val="青_(2)3"/>
      <sheetName val="八_3"/>
      <sheetName val="二本松_(2)3"/>
      <sheetName val="二本松_(3)3"/>
      <sheetName val="二本松_(4)3"/>
      <sheetName val="2018_年間計画3"/>
      <sheetName val="2019_予算23"/>
      <sheetName val="2018_高松店方針3"/>
      <sheetName val="18年度販促計画_3"/>
      <sheetName val="月別粗利計画_3"/>
      <sheetName val="シミュレーションD1_1"/>
      <sheetName val="部品分類明細_(2)1"/>
      <sheetName val="神楽保育園_1"/>
      <sheetName val="2018_年間計画1"/>
      <sheetName val="2019_予算21"/>
      <sheetName val="2018_高松店方針1"/>
      <sheetName val="18年度販促計画_1"/>
      <sheetName val="月別粗利計画_1"/>
      <sheetName val="シミュレーションD1_2"/>
      <sheetName val="部品分類明細_(2)2"/>
      <sheetName val="神楽保育園_2"/>
      <sheetName val="八__(2)2"/>
      <sheetName val="青_(3)2"/>
      <sheetName val="関東_(2)2"/>
      <sheetName val="青_(2)2"/>
      <sheetName val="八_2"/>
      <sheetName val="二本松_(2)2"/>
      <sheetName val="二本松_(3)2"/>
      <sheetName val="二本松_(4)2"/>
      <sheetName val="2018_年間計画2"/>
      <sheetName val="2019_予算22"/>
      <sheetName val="2018_高松店方針2"/>
      <sheetName val="18年度販促計画_2"/>
      <sheetName val="月別粗利計画_2"/>
      <sheetName val="従業員設定"/>
      <sheetName val="作業設定"/>
      <sheetName val="商品名"/>
      <sheetName val="入力規則"/>
      <sheetName val="小口項目"/>
      <sheetName val="与信一覧_(2)14"/>
      <sheetName val="8510_(2)13"/>
      <sheetName val="2000LISTｔｒｕｅ_111713"/>
      <sheetName val="Sheet1_(2)13"/>
      <sheetName val="RD9508V_XLS13"/>
      <sheetName val="市場クレーム明細_13"/>
      <sheetName val="_Recovered_SheetName__1_11"/>
      <sheetName val="10_20-11_1213"/>
      <sheetName val="Plan_sbA13"/>
      <sheetName val="NST_(4)11"/>
      <sheetName val="大連製造ＶＡコストダウン金額纏め_(＄1000以上)_10"/>
      <sheetName val="H9_110"/>
      <sheetName val="Rent_Roll10"/>
      <sheetName val="32_ＹＢ構成9"/>
      <sheetName val="42_ＹＢ構成7"/>
      <sheetName val="家電担当者_7"/>
      <sheetName val="アンケート集計(12_3）7"/>
      <sheetName val="第２章_1_食料品消費支出26"/>
      <sheetName val="■13店別展開パターン表_(3)6"/>
      <sheetName val="06_056"/>
      <sheetName val="06_05イン6"/>
      <sheetName val="06_05直営6"/>
      <sheetName val="現状鳥栖_(事業部予測)_6"/>
      <sheetName val="選択項目一覧_6"/>
      <sheetName val="経費FMT_管理科目6"/>
      <sheetName val="8_3～新商品6"/>
      <sheetName val="ＦＤ実績_6"/>
      <sheetName val="７月度_6"/>
      <sheetName val="Front_Cover_表紙（３SET）4"/>
      <sheetName val="シミュレーションD1_4"/>
      <sheetName val="部品分類明細_(2)4"/>
      <sheetName val="神楽保育園_4"/>
      <sheetName val="主要港_104"/>
      <sheetName val="販促実績_(2)4"/>
      <sheetName val="地域_CD4"/>
      <sheetName val="八__(2)4"/>
      <sheetName val="青_(3)4"/>
      <sheetName val="関東_(2)4"/>
      <sheetName val="青_(2)4"/>
      <sheetName val="八_4"/>
      <sheetName val="二本松_(2)4"/>
      <sheetName val="二本松_(3)4"/>
      <sheetName val="二本松_(4)4"/>
      <sheetName val="2018_年間計画4"/>
      <sheetName val="2019_予算24"/>
      <sheetName val="2018_高松店方針4"/>
      <sheetName val="18年度販促計画_4"/>
      <sheetName val="月別粗利計画_4"/>
      <sheetName val="Effort_by_Menu_Item"/>
      <sheetName val="日別予算"/>
      <sheetName val="既存光源概要"/>
      <sheetName val="既存器具情報"/>
      <sheetName val="【自動計算】ﾗﾝﾌﾟ元ﾃﾞｰﾀ"/>
      <sheetName val="エリア別既存"/>
      <sheetName val="依頼種別"/>
      <sheetName val="分類"/>
      <sheetName val="まとめ"/>
      <sheetName val="(削除禁止)日販ｸﾞﾗﾌ⑩"/>
      <sheetName val="調査シート"/>
      <sheetName val="■電器"/>
      <sheetName val="MIS"/>
      <sheetName val="ブランドリスト"/>
      <sheetName val="Effort_by_Menu_Item1"/>
      <sheetName val="摘要ﾘｽﾄ"/>
      <sheetName val="Ｇ月間達成表"/>
      <sheetName val="Ｐ月間達成表"/>
      <sheetName val="祝日一覧"/>
      <sheetName val="Sheet15"/>
      <sheetName val="Sheet18"/>
      <sheetName val="ダニー店別"/>
      <sheetName val="ワンプッシュ初動"/>
      <sheetName val="WK"/>
      <sheetName val="ﾊﾟｯｹｰｼﾞ"/>
      <sheetName val="損益計画(2022年)"/>
      <sheetName val="園芸一覧"/>
      <sheetName val="\\nas028\c\Volumes\Data\進行中データ\"/>
      <sheetName val="\Volumes\Data\進行中データ\アイリス148\14"/>
      <sheetName val="店舗割表"/>
      <sheetName val="データ貼り付け（0372176-84を貼り付け）"/>
      <sheetName val="⑤優先順位表"/>
      <sheetName val="課題⑨"/>
      <sheetName val="年間１"/>
      <sheetName val="年間１ (2)"/>
      <sheetName val="参）種別リスト"/>
      <sheetName val="回答電話番号リスト"/>
      <sheetName val="サブカテデータ売上累積"/>
      <sheetName val="入力規制"/>
      <sheetName val="対象者"/>
      <sheetName val="98-12"/>
      <sheetName val="週別部門別実績 (2)"/>
      <sheetName val="売価納価ｻｲｽﾞ "/>
      <sheetName val="ＥＯＳ一覧"/>
      <sheetName val="売価JANMST"/>
      <sheetName val="棚割表"/>
      <sheetName val="03"/>
      <sheetName val="04"/>
      <sheetName val="tenso"/>
      <sheetName val="週別主力商品(婦쟀⢦"/>
      <sheetName val="週別主力商品(婦蒘 "/>
      <sheetName val="週別主力商品(婦터⪉"/>
      <sheetName val="週別主力商品(婦悈䅂"/>
      <sheetName val="週別主力商品(婦镸〾"/>
      <sheetName val="週別主力商品(婦䦘᧚"/>
      <sheetName val="週別主力商品(婦偐㵓"/>
      <sheetName val="現地_x0002__x0000_"/>
      <sheetName val="従業員マスタメンテ"/>
      <sheetName val="Sheet372"/>
      <sheetName val="Sheet1011"/>
      <sheetName val="Sheet368"/>
      <sheetName val="Sheet1009"/>
      <sheetName val="ラベル表"/>
      <sheetName val="3Q ｲﾝﾃ"/>
      <sheetName val="[RD9508V.XLS]__nas028_c_Volum_2"/>
      <sheetName val="[RD9508V.XLS]_Volumes_Data____2"/>
      <sheetName val="Sheet371"/>
      <sheetName val="Sheet1003"/>
      <sheetName val="H12春_1"/>
      <sheetName val="全件反映リスト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 refreshError="1"/>
      <sheetData sheetId="57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 refreshError="1"/>
      <sheetData sheetId="767" refreshError="1"/>
      <sheetData sheetId="768"/>
      <sheetData sheetId="769" refreshError="1"/>
      <sheetData sheetId="770" refreshError="1"/>
      <sheetData sheetId="771" refreshError="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/>
      <sheetData sheetId="1039"/>
      <sheetData sheetId="1040" refreshError="1"/>
      <sheetData sheetId="1041" refreshError="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更新版"/>
      <sheetName val="7_販売予測 "/>
      <sheetName val="16～19ｗ振分け"/>
      <sheetName val="0420ｼﾐｭ"/>
      <sheetName val="0421ｼﾐｭ"/>
      <sheetName val="0421ｼﾐｭ(ss)"/>
      <sheetName val="0421大口"/>
      <sheetName val="0420予測"/>
      <sheetName val="0420sim備蓄"/>
      <sheetName val="0420sim移動"/>
      <sheetName val="16〜19ｗ振分け"/>
      <sheetName val="7_販売予測_"/>
      <sheetName val="7_販売予測_1"/>
      <sheetName val="7_販売予測_2"/>
      <sheetName val="7_販売予測_3"/>
      <sheetName val="ｱｸｾｽｸﾞﾗﾌ"/>
      <sheetName val="竹四つ目垣"/>
      <sheetName val="0420ホネカルSIM (1)"/>
      <sheetName val="7_販売予測_4"/>
      <sheetName val="全合計"/>
      <sheetName val="NEW95G2"/>
      <sheetName val="RD9501V"/>
      <sheetName val="昨対"/>
      <sheetName val="RD9505A"/>
      <sheetName val="13年度発生売上予算"/>
      <sheetName val="HQ"/>
      <sheetName val="HE(他）"/>
      <sheetName val="大人12"/>
      <sheetName val="GSV目標"/>
      <sheetName val="住所録"/>
      <sheetName val="与信一覧 (2)"/>
      <sheetName val="#REF"/>
      <sheetName val="1"/>
      <sheetName val="Ｃ’表"/>
      <sheetName val="A"/>
      <sheetName val="対象製品"/>
      <sheetName val="#REF!"/>
      <sheetName val="99下111G"/>
      <sheetName val="園芸一覧"/>
      <sheetName val="ﾆﾚ机"/>
      <sheetName val="PAK6263"/>
      <sheetName val="容量別シェア（年別）　"/>
      <sheetName val="市場クレーム明細 "/>
      <sheetName val="得意先実績(LEDｼｰﾘﾝｸﾞ)"/>
      <sheetName val="其他"/>
      <sheetName val="表3"/>
      <sheetName val="para"/>
      <sheetName val="市場"/>
      <sheetName val="11wG部門ﾗﾝｷﾝｸﾞ"/>
      <sheetName val="表紙"/>
      <sheetName val="品種別数量"/>
      <sheetName val="全件リスト"/>
      <sheetName val="shere"/>
      <sheetName val="7_販売予測_5"/>
      <sheetName val="0420ホネカルSIM_(1)"/>
      <sheetName val="与信一覧_(2)"/>
      <sheetName val="市場クレーム明細_"/>
      <sheetName val="部材表"/>
      <sheetName val="納価目標"/>
      <sheetName val="店舗一覧"/>
      <sheetName val="7_販売予測_6"/>
      <sheetName val="0420ホネカルSIM_(1)1"/>
      <sheetName val="与信一覧_(2)1"/>
      <sheetName val="市場クレーム明細_1"/>
      <sheetName val="Sheet1"/>
      <sheetName val="領収書"/>
      <sheetName val="編集用シート"/>
      <sheetName val="52W　二口"/>
      <sheetName val="入力"/>
      <sheetName val="43"/>
      <sheetName val="グラフ作成支援シート"/>
      <sheetName val="宛名"/>
      <sheetName val="直送ｺﾝﾃﾅ管理表"/>
      <sheetName val="ﾄﾞｯﾄｺﾑ"/>
      <sheetName val="大容量ﾀｲﾌﾟ"/>
      <sheetName val=""/>
      <sheetName val="図8"/>
      <sheetName val="個人別"/>
      <sheetName val="20210520_20210528"/>
      <sheetName val="環境設計課名簿"/>
      <sheetName val="BtoB名簿"/>
      <sheetName val="サイズ"/>
      <sheetName val="検品会社"/>
      <sheetName val="品揃えコード"/>
      <sheetName val="コード"/>
      <sheetName val="反り量別生データ"/>
      <sheetName val="朝阳"/>
      <sheetName val="丰联"/>
      <sheetName val="济南和谐余额表"/>
      <sheetName val="人民路余额表"/>
      <sheetName val="苏州印象城余额表"/>
      <sheetName val="7_販売予測_7"/>
      <sheetName val="0420ホネカルSIM_(1)2"/>
      <sheetName val="与信一覧_(2)2"/>
      <sheetName val="市場クレーム明細_2"/>
      <sheetName val="既存光源概要"/>
      <sheetName val="社外秘；HCﾋﾞｼﾞﾈｽﾁｬﾝｽ"/>
      <sheetName val="7_販売予測_8"/>
      <sheetName val="0420ホネカルSIM_(1)3"/>
      <sheetName val="与信一覧_(2)3"/>
      <sheetName val="市場クレーム明細_3"/>
      <sheetName val="選択"/>
      <sheetName val="担当者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 refreshError="1"/>
      <sheetData sheetId="96" refreshError="1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RD9501V"/>
      <sheetName val="SD9709"/>
      <sheetName val="表3"/>
      <sheetName val="RD9505A"/>
      <sheetName val="昨対"/>
      <sheetName val="ｱｸｾｽｸﾞﾗﾌ"/>
      <sheetName val="HQ"/>
      <sheetName val="13年度発生売上予算"/>
      <sheetName val="Ｃ’表"/>
      <sheetName val="更新版"/>
      <sheetName val="SBプラ鉢"/>
      <sheetName val="A"/>
      <sheetName val="11wG部門ﾗﾝｷﾝｸﾞ"/>
      <sheetName val="NEW95G2"/>
      <sheetName val="Ｃ’’表"/>
      <sheetName val="43"/>
      <sheetName val="全合計"/>
      <sheetName val="shere"/>
      <sheetName val="GSV目標"/>
      <sheetName val="事業部"/>
      <sheetName val="#REF!"/>
      <sheetName val="5月"/>
      <sheetName val="鳥栖"/>
      <sheetName val="HE(他）"/>
      <sheetName val="データ入力"/>
      <sheetName val="商品リスト"/>
      <sheetName val="管理引当金"/>
      <sheetName val="対象製品"/>
      <sheetName val="竹四つ目垣"/>
      <sheetName val="Ｃ'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HQ"/>
      <sheetName val="WS"/>
      <sheetName val="ｾｷﾁｭｰ"/>
      <sheetName val="Ｄｒｇ太陽"/>
      <sheetName val="Ｄｒｇいわい"/>
      <sheetName val="ユアーズ"/>
      <sheetName val="ユアーズ (2)"/>
      <sheetName val="ﾌﾚｯｾｲ"/>
      <sheetName val="ﾌｼﾞﾏｰﾄ"/>
      <sheetName val="ﾄｯﾌﾟ"/>
      <sheetName val="ｼﾞｮｲﾋﾟｯｸ"/>
      <sheetName val="ﾏﾙｴＤｒｇ"/>
      <sheetName val="ﾌｧｰﾑﾗﾝﾄﾞ"/>
      <sheetName val="ｼﾊﾞﾀ薬品"/>
      <sheetName val="ｺｰﾌﾟﾈｯﾄ"/>
      <sheetName val="ｺｰﾌﾟﾈｯﾄ (2)"/>
      <sheetName val="GSV目標"/>
      <sheetName val="00ﾌﾞｯｷﾝｸﾞ"/>
      <sheetName val="RD9501V"/>
      <sheetName val="NEW95G2"/>
      <sheetName val="#REF"/>
      <sheetName val="Ｃ’表"/>
      <sheetName val="A"/>
      <sheetName val="HE(他）"/>
      <sheetName val="更新版"/>
      <sheetName val="43"/>
      <sheetName val="データ入力"/>
      <sheetName val="RD9505A"/>
      <sheetName val="13年度発生売上予算"/>
      <sheetName val="SBプラ鉢"/>
      <sheetName val="shere"/>
      <sheetName val="全合計"/>
      <sheetName val="11wG部門ﾗﾝｷﾝｸﾞ"/>
      <sheetName val="ユアーズ_(2)"/>
      <sheetName val="ｺｰﾌﾟﾈｯﾄ_(2)"/>
      <sheetName val="POP&amp;什器"/>
      <sheetName val="ソーラー懐中電灯"/>
      <sheetName val="昨対"/>
      <sheetName val="表3"/>
      <sheetName val="図8"/>
      <sheetName val="竹四つ目垣"/>
      <sheetName val="Sheet1 (2)"/>
      <sheetName val="Ｃ’’表"/>
      <sheetName val="Sheet1"/>
      <sheetName val="鳥栖"/>
      <sheetName val="与信一覧 (2)"/>
      <sheetName val="提出用EXCEL"/>
      <sheetName val="ｱﾐｸﾚｰﾑ"/>
      <sheetName val="ユアーズ_(2)1"/>
      <sheetName val="ｺｰﾌﾟﾈｯﾄ_(2)1"/>
      <sheetName val="対象製品"/>
      <sheetName val="ユアーズ_(2)2"/>
      <sheetName val="ｺｰﾌﾟﾈｯﾄ_(2)2"/>
      <sheetName val="Sheet1_(2)"/>
      <sheetName val="与信一覧_(2)"/>
      <sheetName val="ユアーズ_(2)3"/>
      <sheetName val="ｺｰﾌﾟﾈｯﾄ_(2)3"/>
      <sheetName val="Sheet1_(2)1"/>
      <sheetName val="与信一覧_(2)1"/>
      <sheetName val="営業"/>
      <sheetName val="Plan sbA"/>
    </sheetNames>
    <sheetDataSet>
      <sheetData sheetId="0" refreshError="1">
        <row r="7">
          <cell r="E7">
            <v>1389</v>
          </cell>
          <cell r="F7">
            <v>1796</v>
          </cell>
          <cell r="G7">
            <v>1674</v>
          </cell>
          <cell r="H7">
            <v>1998</v>
          </cell>
          <cell r="I7">
            <v>1363</v>
          </cell>
          <cell r="J7">
            <v>1609</v>
          </cell>
          <cell r="K7">
            <v>1718</v>
          </cell>
          <cell r="L7">
            <v>1734</v>
          </cell>
          <cell r="M7">
            <v>1545</v>
          </cell>
          <cell r="N7">
            <v>1844</v>
          </cell>
          <cell r="O7">
            <v>1954</v>
          </cell>
          <cell r="P7">
            <v>2065</v>
          </cell>
        </row>
        <row r="8">
          <cell r="E8">
            <v>1665.1999999999998</v>
          </cell>
          <cell r="F8">
            <v>1971.1</v>
          </cell>
          <cell r="G8">
            <v>1781.35</v>
          </cell>
          <cell r="H8">
            <v>1678.9999999999998</v>
          </cell>
          <cell r="I8">
            <v>2068.85</v>
          </cell>
          <cell r="J8">
            <v>1934.3</v>
          </cell>
          <cell r="K8">
            <v>1691.6499999999999</v>
          </cell>
          <cell r="L8">
            <v>1793.9999999999998</v>
          </cell>
          <cell r="M8">
            <v>1961.8999999999999</v>
          </cell>
          <cell r="N8">
            <v>1454.75</v>
          </cell>
          <cell r="O8">
            <v>1811.2499999999998</v>
          </cell>
          <cell r="P8">
            <v>2281.6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縦型ポーチ灯)LED事業部"/>
      <sheetName val="金型"/>
      <sheetName val="スケジュール"/>
      <sheetName val="ﾘﾃｰﾙ1"/>
      <sheetName val="ﾌﾟﾗｻﾞ1"/>
      <sheetName val="ﾘﾃｰﾙ2"/>
      <sheetName val="ﾌﾟﾗｻﾞ2"/>
      <sheetName val="ﾘﾃｰﾙ3"/>
      <sheetName val="ﾌﾟﾗｻﾞ3"/>
      <sheetName val="ﾘﾃｰﾙ4"/>
      <sheetName val="ﾌﾟﾗｻﾞ4"/>
      <sheetName val="ﾘﾃｰﾙ5"/>
      <sheetName val="ﾌﾟﾗｻﾞ5"/>
      <sheetName val="ﾘﾃｰﾙ6"/>
      <sheetName val="ﾌﾟﾗｻﾞ6"/>
      <sheetName val="ﾘﾃｰﾙ7"/>
      <sheetName val="ﾌﾟﾗｻﾞ7"/>
      <sheetName val="ﾘﾃｰﾙ8"/>
      <sheetName val="ﾌﾟﾗｻﾞ8"/>
      <sheetName val="ﾘﾃｰﾙ9"/>
      <sheetName val="ﾌﾟﾗｻﾞ9"/>
      <sheetName val="ﾘﾃｰﾙ10"/>
      <sheetName val="ﾌﾟﾗｻﾞ10"/>
      <sheetName val="ﾘﾃｰﾙ11"/>
      <sheetName val="ﾌﾟﾗｻﾞ11"/>
      <sheetName val="ﾘﾃｰﾙ12"/>
      <sheetName val="ﾌﾟﾗｻﾞ12"/>
      <sheetName val="RD9501V"/>
      <sheetName val="GSV目標"/>
      <sheetName val="HE(他）"/>
      <sheetName val="13年度発生売上予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RD9501V"/>
      <sheetName val="Sheet1"/>
      <sheetName val="ENGEI"/>
      <sheetName val="ぺっと"/>
      <sheetName val="収納"/>
      <sheetName val="工具"/>
      <sheetName val="カー用品"/>
      <sheetName val="日用品"/>
      <sheetName val="全社"/>
      <sheetName val="RD9505O"/>
      <sheetName val="RD9505A"/>
      <sheetName val="全合計"/>
      <sheetName val="NEW95G2"/>
      <sheetName val="[RD9"/>
      <sheetName val="_RD9"/>
      <sheetName val="5月"/>
      <sheetName val="#REF"/>
      <sheetName val="改廃一覧社外秘"/>
      <sheetName val="端末設置状況"/>
      <sheetName val="手順①追加修正連絡票"/>
      <sheetName val="涼味"/>
      <sheetName val="トレンド表"/>
      <sheetName val="RD9508V"/>
      <sheetName val="西川繊維２０９ニトリ在庫報告"/>
      <sheetName val="43"/>
      <sheetName val="Ｃ’表"/>
      <sheetName val="おでん"/>
      <sheetName val="国勢DATA1"/>
      <sheetName val="国勢DATA2"/>
      <sheetName val="国勢DATA3"/>
      <sheetName val="国勢DATA県"/>
      <sheetName val="消費DATA1"/>
      <sheetName val="消費DATA2"/>
      <sheetName val="消費DATA3"/>
      <sheetName val="消費DATA県"/>
      <sheetName val="13年度発生売上予算"/>
      <sheetName val="入力リスト"/>
      <sheetName val="表3"/>
      <sheetName val="図8"/>
      <sheetName val="ﾄﾞｯﾄｺﾑ"/>
      <sheetName val="行楽ﾌｪｱ"/>
      <sheetName val="表紙"/>
      <sheetName val="shtBuff"/>
      <sheetName val="仕訳①"/>
      <sheetName val="媒体管理表"/>
      <sheetName val="好調不調"/>
      <sheetName val="社外秘；HCﾋﾞｼﾞﾈｽﾁｬﾝｽ"/>
      <sheetName val="11wG部門ﾗﾝｷﾝｸﾞ"/>
      <sheetName val="ﾃﾞｰﾀ"/>
      <sheetName val="提案書"/>
      <sheetName val="Ｗｅｂｱﾝｹｰﾄ①"/>
      <sheetName val="Ｗｅｂｱﾝｹｰﾄ②"/>
      <sheetName val="data"/>
      <sheetName val="ﾊｰﾄﾞｵﾌｨｽ価格表"/>
      <sheetName val="一覧表"/>
      <sheetName val="CPU"/>
      <sheetName val="12月"/>
      <sheetName val="043"/>
      <sheetName val="046"/>
      <sheetName val="055"/>
      <sheetName val="ﾃﾞｰﾀｲﾝﾌﾟｯﾄ欄"/>
      <sheetName val="dptFMT"/>
      <sheetName val="事FMT"/>
      <sheetName val="調FMT"/>
      <sheetName val="ｶﾃ"/>
      <sheetName val="Control"/>
      <sheetName val="8以上社員"/>
      <sheetName val="規格書"/>
      <sheetName val="人口移動第４表"/>
      <sheetName val="与信一覧 (2)"/>
      <sheetName val="copy1"/>
      <sheetName val="昨対"/>
      <sheetName val="HQ"/>
      <sheetName val="#REF!"/>
      <sheetName val="GSV目標"/>
      <sheetName val="大型店版"/>
      <sheetName val="収納・インテ"/>
      <sheetName val="ｱｸｾｽｸﾞﾗﾌ"/>
      <sheetName val="仕入先"/>
      <sheetName val="HE(他）"/>
      <sheetName val="対象製品"/>
      <sheetName val="住所録"/>
      <sheetName val="PAK6263"/>
      <sheetName val="更新版"/>
      <sheetName val="ｵｰﾀﾞｰ"/>
      <sheetName val="0310"/>
      <sheetName val="配荷"/>
      <sheetName val="shere"/>
      <sheetName val="1"/>
      <sheetName val="竹四つ目垣"/>
      <sheetName val="CM予定表(～2012年3月）"/>
      <sheetName val="8510 (2)"/>
      <sheetName val="A"/>
      <sheetName val="大人12"/>
      <sheetName val="13_hashihara01"/>
      <sheetName val="29_hashihara13"/>
      <sheetName val="para"/>
      <sheetName val="入力フォーム"/>
      <sheetName val="１業種"/>
      <sheetName val="SKU_31"/>
      <sheetName val="販売目標"/>
      <sheetName val="SBプラ鉢"/>
      <sheetName val="実績・予測"/>
      <sheetName val="2000LISTｔｒｕｅ 1117"/>
      <sheetName val="バックデータ"/>
      <sheetName val="北空貼"/>
      <sheetName val="４週指示"/>
      <sheetName val="営業所８"/>
      <sheetName val="RD9508V.XLS"/>
      <sheetName val="１"/>
      <sheetName val="ExChange"/>
      <sheetName val="新ﾗｲﾝ(部品展開)"/>
      <sheetName val="ｲﾎﾞ竹販売数調整"/>
      <sheetName val="管理引当金"/>
      <sheetName val="宛名"/>
      <sheetName val="P1実績①"/>
      <sheetName val="記入ﾌｫｰﾑ"/>
      <sheetName val="Sheet1 (2)"/>
      <sheetName val="Sheet3"/>
      <sheetName val="25DJ40"/>
      <sheetName val="累計出荷実績"/>
      <sheetName val="元データー"/>
      <sheetName val="提出用EXCEL"/>
      <sheetName val="目次"/>
      <sheetName val="POP&amp;什器"/>
      <sheetName val="マスター"/>
      <sheetName val="単価は最低納価使用"/>
      <sheetName val="Ｃ’’表"/>
      <sheetName val="Ｃ’’’’表"/>
      <sheetName val="通常発注書"/>
      <sheetName val="全体定番確定表"/>
      <sheetName val="領収書"/>
      <sheetName val="編集用シート"/>
      <sheetName val="10.20-11.12"/>
      <sheetName val="ｼｰﾄ1"/>
      <sheetName val="日本チーム計算根拠"/>
      <sheetName val="生人台帳"/>
      <sheetName val="包材リスト"/>
      <sheetName val="初回納品"/>
      <sheetName val="Plan sbA"/>
      <sheetName val="市場クレーム明細 "/>
      <sheetName val="与信一覧_(2)"/>
      <sheetName val="ROI"/>
      <sheetName val="5-6月キャンペーン"/>
      <sheetName val="管理引当"/>
      <sheetName val="_Recovered_SheetName_ 1_"/>
      <sheetName val="検査結果一覧"/>
      <sheetName val="NST (4)"/>
      <sheetName val="12年■SAS計画（全店舗）■"/>
      <sheetName val="０５３合計"/>
      <sheetName val="POP申請フォーマット（ここに入力してください）"/>
      <sheetName val="　月次報告（数値データ）　"/>
      <sheetName val="033"/>
      <sheetName val="与信一覧_(2)1"/>
      <sheetName val="8510_(2)"/>
      <sheetName val="2000LISTｔｒｕｅ_1117"/>
      <sheetName val="Sheet1_(2)"/>
      <sheetName val="RD9508V_XLS"/>
      <sheetName val="10_20-11_12"/>
      <sheetName val="Plan_sbA"/>
      <sheetName val="市場クレーム明細_"/>
      <sheetName val="提供用EXCEL"/>
      <sheetName val="与信一覧_(2)2"/>
      <sheetName val="8510_(2)1"/>
      <sheetName val="2000LISTｔｒｕｅ_11171"/>
      <sheetName val="Sheet1_(2)1"/>
      <sheetName val="RD9508V_XLS1"/>
      <sheetName val="10_20-11_121"/>
      <sheetName val="Plan_sbA1"/>
      <sheetName val="市場クレーム明細_1"/>
      <sheetName val="与信一覧_(2)3"/>
      <sheetName val="8510_(2)2"/>
      <sheetName val="2000LISTｔｒｕｅ_11172"/>
      <sheetName val="Sheet1_(2)2"/>
      <sheetName val="RD9508V_XLS2"/>
      <sheetName val="10_20-11_122"/>
      <sheetName val="Plan_sbA2"/>
      <sheetName val="市場クレーム明細_2"/>
      <sheetName val="大連製造ＶＡコストダウン金額纏め (＄1000以上)."/>
      <sheetName val="不点灯交換の情報記載"/>
      <sheetName val="Ｃ実績①"/>
      <sheetName val="店舗マスタ"/>
      <sheetName val="２月店舗経費実績"/>
      <sheetName val="１．社内ﾈｯﾄﾜｰｸﾊｰﾄﾞｳｪｱ"/>
      <sheetName val="ケチャップ有り"/>
      <sheetName val="_REF"/>
      <sheetName val="健康ﾌｪｱ外注(ﾌﾞﾛｯｸ)"/>
      <sheetName val="仕様変更進捗（ＡＬＬ）"/>
      <sheetName val="ｷﾞﾌﾄ・ﾃﾅﾝﾄ除く"/>
      <sheetName val="基本量販店動向"/>
      <sheetName val="点数"/>
      <sheetName val="データ入力"/>
      <sheetName val="SEIｶﾗｰ"/>
      <sheetName val="売上(衣)"/>
      <sheetName val="原料ﾚｼﾋﾟ"/>
      <sheetName val="商品ﾏｽﾀｰ"/>
      <sheetName val="POP-YMDMH-ARI040930-1"/>
      <sheetName val="②仙台"/>
      <sheetName val="①器具製作実績グラフ"/>
      <sheetName val="与信管理帳合"/>
      <sheetName val="粗利率順Wﾁｪｯｸ表"/>
      <sheetName val="板資材(M)"/>
      <sheetName val="入力"/>
      <sheetName val="①品名・梱包入力"/>
      <sheetName val="店別"/>
      <sheetName val="H9.1"/>
      <sheetName val="_Recovered_SheetName__1_"/>
      <sheetName val="日8L_B"/>
      <sheetName val="検査結果一覧(日本受入)"/>
      <sheetName val="先行管理記入例"/>
      <sheetName val="全件リスト"/>
      <sheetName val="地域B"/>
      <sheetName val="G5"/>
      <sheetName val="ﾌﾟﾚｾﾞﾝ資"/>
      <sheetName val="じんこうTOPICS"/>
      <sheetName val="D3"/>
      <sheetName val="graph"/>
      <sheetName val="SKU"/>
      <sheetName val="明細"/>
      <sheetName val="②東京"/>
      <sheetName val="②大阪"/>
      <sheetName val="47下管理"/>
      <sheetName val="大容量ﾀｲﾌﾟ"/>
      <sheetName val="支給品一覧表"/>
      <sheetName val="直送ｺﾝﾃﾅ管理表"/>
      <sheetName val="価格表"/>
      <sheetName val="経費"/>
      <sheetName val="営業実績"/>
      <sheetName val="本体バック"/>
      <sheetName val="廃番ﾃﾞｯﾄﾞ"/>
      <sheetName val="入金実96"/>
      <sheetName val="元データ"/>
      <sheetName val="SINAZ4月"/>
      <sheetName val="0606販売予測"/>
      <sheetName val="NST_(4)"/>
      <sheetName val="ダンジ"/>
      <sheetName val="営業所一覧"/>
      <sheetName val="部材表"/>
      <sheetName val="品目リスト"/>
      <sheetName val="LIST"/>
      <sheetName val="リスト"/>
      <sheetName val="⑤弁当"/>
      <sheetName val="基本cvs動向"/>
      <sheetName val="証拠"/>
      <sheetName val="商品一覧"/>
      <sheetName val="万田酵素モニター"/>
      <sheetName val="品種別数量"/>
      <sheetName val="Ｃ'表"/>
      <sheetName val="定数"/>
      <sheetName val="マスタ"/>
      <sheetName val="対象者リスト"/>
      <sheetName val="Sheet2"/>
      <sheetName val="32.ＹＢ構成"/>
      <sheetName val="USA_3期グラフ"/>
      <sheetName val="【大連】部門損益"/>
      <sheetName val="11年度発生売上予算提出書類"/>
      <sheetName val="2401"/>
      <sheetName val="Macro1"/>
      <sheetName val="与信一覧_(2)4"/>
      <sheetName val="8510_(2)3"/>
      <sheetName val="2000LISTｔｒｕｅ_11173"/>
      <sheetName val="Sheet1_(2)3"/>
      <sheetName val="RD9508V_XLS3"/>
      <sheetName val="市場クレーム明細_3"/>
      <sheetName val="_Recovered_SheetName__1_1"/>
      <sheetName val="10_20-11_123"/>
      <sheetName val="NST_(4)1"/>
      <sheetName val="H9_1"/>
      <sheetName val="Plan_sbA3"/>
      <sheetName val="大連製造ＶＡコストダウン金額纏め_(＄1000以上)_"/>
      <sheetName val="外注トライ"/>
      <sheetName val="0901"/>
      <sheetName val="0902"/>
      <sheetName val="0903"/>
      <sheetName val="0904"/>
      <sheetName val="0905"/>
      <sheetName val="0906"/>
      <sheetName val="0907"/>
      <sheetName val="0908"/>
      <sheetName val="0909"/>
      <sheetName val="0910"/>
      <sheetName val="0911"/>
      <sheetName val="0912"/>
      <sheetName val="鳥栖"/>
      <sheetName val="Rent Roll"/>
      <sheetName val="受取配当金"/>
      <sheetName val="クレジット決済"/>
      <sheetName val="Rent_Roll"/>
      <sheetName val="Sheet5"/>
      <sheetName val="Sheet6"/>
      <sheetName val="Sheet7"/>
      <sheetName val="Sheet8"/>
      <sheetName val="Sheet9"/>
      <sheetName val="52wG部門ﾗﾝｷﾝｸﾞ"/>
      <sheetName val="形材部品マスター"/>
      <sheetName val="企画書"/>
      <sheetName val="帳票"/>
      <sheetName val="ST障害管理表"/>
      <sheetName val="資材ＳＩＭ"/>
      <sheetName val="●キャンペーン・企画ヒアリング"/>
      <sheetName val="昨比データ"/>
      <sheetName val="Wﾁｪｯｸ表"/>
      <sheetName val="コード(腕時計)"/>
      <sheetName val="POP製作Ｂ"/>
      <sheetName val="PＯＰ制作Ａ新"/>
      <sheetName val="区分"/>
      <sheetName val="台湾～ｵﾏｰﾝ"/>
      <sheetName val="損益計画"/>
      <sheetName val="メニュー"/>
      <sheetName val="設定"/>
      <sheetName val="フリーダイヤル"/>
      <sheetName val="機種"/>
      <sheetName val="発信元課金"/>
      <sheetName val="share"/>
      <sheetName val="売上速報19973"/>
      <sheetName val="全国"/>
      <sheetName val="ﾘｽﾄ"/>
      <sheetName val="エンド"/>
      <sheetName val="ラックEXPO"/>
      <sheetName val="クロス昨年"/>
      <sheetName val="クロス売上"/>
      <sheetName val="入力用"/>
      <sheetName val="ｼﾞｬｽｺ商報"/>
      <sheetName val="集計①"/>
      <sheetName val="与信ｵｰﾊﾞｰ"/>
      <sheetName val="入力シート"/>
      <sheetName val="報告依頼部署"/>
      <sheetName val="メンテナンス受付台帳"/>
      <sheetName val="個数単価推移２００１"/>
      <sheetName val="tbl"/>
      <sheetName val="カーサイクル"/>
      <sheetName val="3_hashihara48"/>
      <sheetName val="与信一覧_(2)5"/>
      <sheetName val="8510_(2)4"/>
      <sheetName val="2000LISTｔｒｕｅ_11174"/>
      <sheetName val="Sheet1_(2)4"/>
      <sheetName val="RD9508V_XLS4"/>
      <sheetName val="10_20-11_124"/>
      <sheetName val="大連製造ＶＡコストダウン金額纏め_(＄1000以上)_1"/>
      <sheetName val="Plan_sbA4"/>
      <sheetName val="市場クレーム明細_4"/>
      <sheetName val="_Recovered_SheetName__1_2"/>
      <sheetName val="NST_(4)2"/>
      <sheetName val="H9_11"/>
      <sheetName val="Rent_Roll1"/>
      <sheetName val="32_ＹＢ構成"/>
      <sheetName val="⑧-2ﾊﾟﾀｰﾝ別店舗一覧"/>
      <sheetName val="ﾌﾞﾗｼ梶"/>
      <sheetName val="アンケート集計(12.3）"/>
      <sheetName val="HA実販"/>
      <sheetName val="部門別計画表"/>
      <sheetName val="30IY"/>
      <sheetName val="VIVA"/>
      <sheetName val="30VIVA"/>
      <sheetName val="ドイト"/>
      <sheetName val="30ドイト"/>
      <sheetName val="島忠"/>
      <sheetName val="30島忠"/>
      <sheetName val="貼付用"/>
      <sheetName val="家電担当者 "/>
      <sheetName val="Tp040611-2%"/>
      <sheetName val="集計シート(合算)"/>
      <sheetName val="ﾁｭｰﾘｯﾌﾟ"/>
      <sheetName val="ﾕﾘ"/>
      <sheetName val="ｽｲｾﾝ_ﾋﾔｼﾝｽ_ｸﾛｯｶｽ"/>
      <sheetName val="全件ﾘｽﾄ"/>
      <sheetName val="店舗情報"/>
      <sheetName val="42.ＹＢ構成"/>
      <sheetName val="月末"/>
      <sheetName val="万代比数"/>
      <sheetName val=""/>
      <sheetName val="taalcode"/>
      <sheetName val="Product"/>
      <sheetName val="全体AP資料10月(ＨＥ)"/>
      <sheetName val="与信一覧_(2)6"/>
      <sheetName val="8510_(2)5"/>
      <sheetName val="2000LISTｔｒｕｅ_11175"/>
      <sheetName val="Sheet1_(2)5"/>
      <sheetName val="RD9508V_XLS5"/>
      <sheetName val="10_20-11_125"/>
      <sheetName val="市場クレーム明細_5"/>
      <sheetName val="Plan_sbA5"/>
      <sheetName val="大連製造ＶＡコストダウン金額纏め_(＄1000以上)_2"/>
      <sheetName val="_Recovered_SheetName__1_3"/>
      <sheetName val="NST_(4)3"/>
      <sheetName val="H9_12"/>
      <sheetName val="Rent_Roll2"/>
      <sheetName val="32_ＹＢ構成1"/>
      <sheetName val="店舗（合算）"/>
      <sheetName val="見積書"/>
      <sheetName val="集計シート(IY)"/>
      <sheetName val="net_qty"/>
      <sheetName val="０５"/>
      <sheetName val="作業"/>
      <sheetName val="新商品比率ｸﾞﾗﾌ"/>
      <sheetName val="開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HE"/>
      <sheetName val="HE(LED)"/>
      <sheetName val="HE(他）"/>
      <sheetName val="RD9501V"/>
      <sheetName val="昨対"/>
      <sheetName val="GSV目標"/>
      <sheetName val="HQ"/>
      <sheetName val="NEW95G2"/>
      <sheetName val="在庫1ｗ"/>
      <sheetName val="A"/>
      <sheetName val="#REF!"/>
      <sheetName val="13年度発生売上予算"/>
      <sheetName val="Ｃ’表"/>
      <sheetName val="竹四つ目垣"/>
      <sheetName val="稼働率グラフ（立体）"/>
      <sheetName val="更新版"/>
      <sheetName val="RD9505A"/>
      <sheetName val="表3"/>
      <sheetName val="図8"/>
      <sheetName val="住所録"/>
      <sheetName val="#REF"/>
      <sheetName val="データ入力"/>
      <sheetName val="SBプラ鉢"/>
      <sheetName val="share"/>
      <sheetName val="管理引当"/>
      <sheetName val="管理引_x0000_"/>
      <sheetName val="Ｃ’’表"/>
      <sheetName val="2000LISTｔｒｕｅ 1117"/>
      <sheetName val="対象製品"/>
      <sheetName val="与信一覧 (2)"/>
      <sheetName val="管理引_x005f_x0000_"/>
      <sheetName val="Ｃ'表"/>
      <sheetName val="2000LISTｔｒｕｅ_1117"/>
      <sheetName val="与信一覧_(2)"/>
      <sheetName val="管理引_x005f_x005f_x005f_x0000_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13年度発生売上予算"/>
      <sheetName val="H13"/>
      <sheetName val="H12"/>
      <sheetName val="H11"/>
      <sheetName val="H10"/>
      <sheetName val="H9"/>
      <sheetName val="A"/>
      <sheetName val="HQ"/>
      <sheetName val="GSV目標"/>
      <sheetName val="43"/>
      <sheetName val="HE(他）"/>
      <sheetName val="010"/>
      <sheetName val="RD9501V"/>
      <sheetName val="稼働率グラフ（立体）"/>
      <sheetName val="更新版"/>
      <sheetName val="NEW95G2"/>
      <sheetName val="住所録"/>
      <sheetName val="SBプラ鉢"/>
      <sheetName val="全合計"/>
      <sheetName val="SKU"/>
      <sheetName val="昨対"/>
      <sheetName val="RD9505A"/>
      <sheetName val="Ｃ’表"/>
      <sheetName val="事業部"/>
      <sheetName val="品種別計画表〈予算）"/>
      <sheetName val="#REF"/>
      <sheetName val="元データー"/>
      <sheetName val="提供用EXCEL"/>
      <sheetName val="一覧表"/>
      <sheetName val="提出用EXCEL"/>
      <sheetName val="ｱﾐｸﾚｰﾑ"/>
      <sheetName val="PAK6263"/>
      <sheetName val="11wG部門ﾗﾝｷﾝｸﾞ"/>
      <sheetName val="バックデータ"/>
      <sheetName val="比較ヘッダー"/>
      <sheetName val="管理引当"/>
      <sheetName val="支給品一覧表"/>
      <sheetName val="検査結果一覧(日本受入)"/>
      <sheetName val="鉢"/>
      <sheetName val="リスト"/>
      <sheetName val="入力"/>
      <sheetName val="単価は最低納価使用"/>
      <sheetName val="生データ"/>
      <sheetName val="ｽﾀｰﾄﾎﾞﾀﾝ"/>
      <sheetName val="Wﾁｪｯｸ表"/>
      <sheetName val="与信一覧"/>
      <sheetName val="Sheet1 (2)"/>
      <sheetName val="Sheet1"/>
      <sheetName val="板資材(M)"/>
      <sheetName val="見本 全件リスト"/>
      <sheetName val="設定"/>
      <sheetName val="改廃一覧社外秘"/>
      <sheetName val="０５３合計"/>
      <sheetName val="11. Keibai"/>
      <sheetName val="ﾃﾞｰﾀ"/>
      <sheetName val="入金実96"/>
      <sheetName val="原本"/>
      <sheetName val="比較表"/>
      <sheetName val="ﾄﾞｯﾄｺﾑ"/>
      <sheetName val="商品一覧表"/>
      <sheetName val="通話時間ログ"/>
      <sheetName val="全集計"/>
      <sheetName val="図8"/>
      <sheetName val="表3"/>
      <sheetName val="商品"/>
      <sheetName val="商品形名表"/>
      <sheetName val="5月"/>
      <sheetName val="ﾃﾞ-ﾀ-"/>
      <sheetName val="布団乾燥機ｐｐｍ"/>
      <sheetName val="中国不良まとめ"/>
      <sheetName val=""/>
      <sheetName val="Sheet1_(2)"/>
      <sheetName val="見本_全件リスト"/>
      <sheetName val="11__Keibai"/>
      <sheetName val="まとめ"/>
      <sheetName val="Sheet5"/>
      <sheetName val="Sheet71"/>
      <sheetName val="Sheet1_(2)1"/>
      <sheetName val="見本_全件リスト1"/>
      <sheetName val="11__Keibai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#REF"/>
      <sheetName val="#REF!"/>
      <sheetName val="HQ"/>
      <sheetName val="RD9501V"/>
      <sheetName val="全合計"/>
      <sheetName val="NEW95G2"/>
      <sheetName val="13年度発生売上予算"/>
      <sheetName val="GSV目標"/>
      <sheetName val="SD9709"/>
      <sheetName val="更新版"/>
      <sheetName val="43"/>
      <sheetName val="A"/>
      <sheetName val="Ｃ’表"/>
      <sheetName val="提供用EXCEL"/>
      <sheetName val="RD9505A"/>
      <sheetName val="住所録"/>
      <sheetName val="HE(他）"/>
      <sheetName val="稼働率グラフ（立体）"/>
      <sheetName val="園芸一覧"/>
      <sheetName val="全集計"/>
      <sheetName val="shere"/>
      <sheetName val="表3"/>
      <sheetName val="対象製品"/>
      <sheetName val="Plan sbA"/>
      <sheetName val="昨対"/>
      <sheetName val="011101"/>
      <sheetName val="ｱﾐｸﾚｰﾑ"/>
      <sheetName val="与信一覧 (2)"/>
      <sheetName val="入力"/>
      <sheetName val="竹四つ目垣"/>
      <sheetName val="ｱｸｾｽｸﾞﾗﾌ"/>
      <sheetName val="5月"/>
      <sheetName val="ﾄﾞｯﾄｺﾑ"/>
      <sheetName val="00002"/>
      <sheetName val="組立構成"/>
      <sheetName val="11wG部門ﾗﾝｷﾝｸﾞ"/>
      <sheetName val="個数単価推移２００１"/>
      <sheetName val="領収書"/>
      <sheetName val="編集用シート"/>
      <sheetName val="para"/>
      <sheetName val="Plan_sbA"/>
      <sheetName val="与信一覧_(2)"/>
      <sheetName val="品種別計画表〈予算）"/>
      <sheetName val="Plan_sbA1"/>
      <sheetName val="与信一覧_(2)1"/>
      <sheetName val="社外秘；HCﾋﾞｼﾞﾈｽﾁｬﾝｽ"/>
      <sheetName val="バックデータ"/>
      <sheetName val="御見積書"/>
      <sheetName val="配荷目標"/>
      <sheetName val="生人台帳"/>
      <sheetName val="成形構成"/>
      <sheetName val="Ｃ’’表"/>
      <sheetName val="master"/>
      <sheetName val="2000LISTｔｒｕｅ 1117"/>
      <sheetName val="宛名"/>
      <sheetName val="HA実販"/>
      <sheetName val="8以上社員"/>
      <sheetName val="事業部"/>
      <sheetName val="大容量ﾀｲﾌﾟ"/>
      <sheetName val="表紙"/>
      <sheetName val="Ｃ'表"/>
      <sheetName val="図8"/>
      <sheetName val="3"/>
      <sheetName val="Plan_sbA2"/>
      <sheetName val="与信一覧_(2)2"/>
      <sheetName val="2000LISTｔｒｕｅ_1117"/>
      <sheetName val="新ﾗｲﾝ(部品展開)"/>
      <sheetName val="ｲﾎﾞ竹販売数調整"/>
      <sheetName val="SBプラ鉢"/>
      <sheetName val="SEIｶﾗｰ"/>
      <sheetName val="Sheet1"/>
      <sheetName val="Sheet2"/>
      <sheetName val="鳥栖"/>
      <sheetName val="比較表"/>
      <sheetName val="把手大連バ"/>
      <sheetName val="本体バック"/>
      <sheetName val="11年度発生売上予算提出書類"/>
      <sheetName val="店長週報"/>
      <sheetName val="POP-YMDMH-ARI040930-1"/>
      <sheetName val="部門別計画表"/>
      <sheetName val="入力リスト"/>
      <sheetName val="店在一覧"/>
      <sheetName val="回答電話番号リスト"/>
      <sheetName val="企画書（12枚）Excel出力"/>
      <sheetName val="data) 7 機会損失額"/>
      <sheetName val="ﾊｰﾄﾞ①【全データ】"/>
      <sheetName val="返答"/>
      <sheetName val="提出用EXCEL"/>
      <sheetName val="まとめ"/>
      <sheetName val="支社・ブロック別"/>
      <sheetName val="G5"/>
      <sheetName val="地域B"/>
      <sheetName val="好調不調"/>
      <sheetName val="おでん"/>
      <sheetName val="集計表"/>
      <sheetName val="M'S"/>
      <sheetName val="H7昇格者"/>
      <sheetName val="大人12"/>
      <sheetName val="CM予定表(～2012年3月）"/>
      <sheetName val="PAK6263"/>
      <sheetName val="検索③"/>
      <sheetName val="検索②"/>
      <sheetName val="検索"/>
      <sheetName val="②仙台"/>
      <sheetName val="①器具製作実績グラフ"/>
      <sheetName val="ﾁﾗｼ"/>
      <sheetName val="ﾁﾗｼ枚数"/>
      <sheetName val="Control"/>
      <sheetName val="IN"/>
      <sheetName val="harima"/>
      <sheetName val="sugi"/>
      <sheetName val="ﾃﾞｰﾀ"/>
      <sheetName val="data)_7_機会損失額"/>
      <sheetName val="１１月"/>
      <sheetName val="99下111G"/>
      <sheetName val="品番順"/>
      <sheetName val="DATA"/>
      <sheetName val="外注トライ"/>
      <sheetName val="売上"/>
      <sheetName val="BS推移"/>
      <sheetName val="CR推移"/>
      <sheetName val="PL推移"/>
      <sheetName val="Wﾁｪｯｸ表"/>
      <sheetName val="与信管理帳合"/>
      <sheetName val="チームＣＤ"/>
      <sheetName val="分類一覧"/>
      <sheetName val="Effort by Menu Item"/>
      <sheetName val="３ヶ年計画グラフ"/>
      <sheetName val="ｼﾞｬｽｺ"/>
      <sheetName val="SKU_31"/>
      <sheetName val="部品分類明細"/>
      <sheetName val="部品分類明細 (2)"/>
      <sheetName val="データ入力"/>
      <sheetName val="事業部 (2)"/>
      <sheetName val="西川繊維２０９ニトリ在庫報告"/>
      <sheetName val="部品分類明細 "/>
      <sheetName val="工事予算書"/>
      <sheetName val="商品"/>
      <sheetName val="S060204"/>
      <sheetName val="週別部門別実績 (2)"/>
      <sheetName val="⑤弁当"/>
      <sheetName val="drop down"/>
      <sheetName val="data)_7_機会損失額1"/>
      <sheetName val="Effort_by_Menu_Item"/>
      <sheetName val="部品分類明細_(2)"/>
      <sheetName val="事業部_(2)"/>
      <sheetName val="部品分類明細_"/>
      <sheetName val="週別部門別実績_(2)"/>
      <sheetName val="制御"/>
      <sheetName val="BAB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提案書"/>
      <sheetName val="Ｗｅｂｱﾝｹｰﾄ①"/>
      <sheetName val="Ｗｅｂｱﾝｹｰﾄ②"/>
      <sheetName val="data"/>
      <sheetName val="ﾊｰﾄﾞｵﾌｨｽ価格表"/>
      <sheetName val="将来に仕掛ける"/>
      <sheetName val="Aセット"/>
      <sheetName val="Bセット"/>
      <sheetName val="売り場"/>
      <sheetName val="ｽｹｼﾞｭｰﾙ表"/>
      <sheetName val="MS計画"/>
      <sheetName val="質問"/>
      <sheetName val="価格とセット販売"/>
      <sheetName val="#REF!"/>
      <sheetName val="#REF"/>
      <sheetName val="値上下管理表値上用・原紙・手"/>
      <sheetName val="値上下管理表値下用・原紙・手"/>
      <sheetName val="値上用"/>
      <sheetName val="値下用"/>
      <sheetName val="Sheet1"/>
      <sheetName val="Sheet2"/>
      <sheetName val="Sheet3"/>
      <sheetName val="RD9505A"/>
      <sheetName val="RD9501V"/>
      <sheetName val="PAK6263"/>
      <sheetName val="⑤優先順位表"/>
      <sheetName val="IS96S1"/>
      <sheetName val="Control"/>
      <sheetName val="新Ｍ別"/>
      <sheetName val="昨対"/>
      <sheetName val="更新版"/>
      <sheetName val="ﾄﾞｯﾄｺﾑ"/>
      <sheetName val="5月"/>
      <sheetName val="Ｃ’表"/>
      <sheetName val="竹四つ目垣"/>
      <sheetName val="与信一覧 (2)"/>
      <sheetName val="NEW95G2"/>
      <sheetName val="富田貼"/>
      <sheetName val="園芸一覧"/>
      <sheetName val="GSV目標"/>
      <sheetName val="HQ"/>
      <sheetName val="住所録"/>
      <sheetName val="全合計"/>
      <sheetName val="ﾃﾞｰﾀ"/>
      <sheetName val="11wG部門ﾗﾝｷﾝｸﾞ"/>
      <sheetName val="13年度発生売上予算"/>
      <sheetName val="新ﾗｲﾝ(部品展開)"/>
      <sheetName val="ｲﾎﾞ竹販売数調整"/>
      <sheetName val="shere"/>
      <sheetName val="領収書"/>
      <sheetName val="編集用シート"/>
      <sheetName val="ｵｰﾀﾞｰ"/>
      <sheetName val="1"/>
      <sheetName val="para"/>
      <sheetName val="dis00"/>
      <sheetName val="dis01"/>
      <sheetName val="配送ﾊﾟﾀｰﾝ表"/>
      <sheetName val="味の素フェア"/>
      <sheetName val="Ｃ’’表"/>
      <sheetName val="与信一覧_(2)"/>
      <sheetName val="管理引当金"/>
      <sheetName val="全件反映リスト"/>
      <sheetName val="ﾒﾝﾃ"/>
      <sheetName val="8以上社員"/>
      <sheetName val="明細"/>
      <sheetName val="与信一覧_(2)1"/>
      <sheetName val="クレジット決済"/>
      <sheetName val="011101"/>
      <sheetName val="SBプラ鉢"/>
      <sheetName val="与信一覧_(2)2"/>
      <sheetName val="HE(他）"/>
      <sheetName val="A"/>
      <sheetName val="経費FMT 管理科目"/>
      <sheetName val="生人台帳"/>
      <sheetName val="表紙"/>
      <sheetName val="POP-YMDMH-ARI040930-1"/>
      <sheetName val="【全データ】"/>
      <sheetName val="SPアプレポ"/>
      <sheetName val="SP商品特徴"/>
      <sheetName val="KTB-23"/>
      <sheetName val="商品特徴"/>
      <sheetName val="転倒防止棒"/>
      <sheetName val="見積"/>
      <sheetName val="耐震バーAP"/>
      <sheetName val="新商品耐震バー"/>
      <sheetName val="43"/>
      <sheetName val="商品"/>
      <sheetName val="１業種"/>
      <sheetName val="ﾊｰﾄﾞ①【全データ】"/>
      <sheetName val="６月方向性 "/>
      <sheetName val="６月店舗 "/>
      <sheetName val="チャレンジ"/>
      <sheetName val="○こだわりDIY"/>
      <sheetName val="○こだわりHK"/>
      <sheetName val="○こだわりEL"/>
      <sheetName val="ライン傾向と対策 "/>
      <sheetName val="利益貢献度（ＤＩＹ）"/>
      <sheetName val="利益貢献度（ＨＫ）"/>
      <sheetName val="利益貢献度（ＥＬ）"/>
      <sheetName val="上位クラス "/>
      <sheetName val="上位単品 "/>
      <sheetName val="ﾁﾗｼ"/>
      <sheetName val="ﾁﾗｼ枚数"/>
      <sheetName val="★月報告format"/>
      <sheetName val="損益"/>
      <sheetName val="①-全社"/>
      <sheetName val="①-ｾﾞﾈﾗﾙ開発"/>
      <sheetName val="①-ｴﾝｼﾞﾆｱ開発"/>
      <sheetName val="★4月報告①"/>
      <sheetName val="★4月報告②"/>
      <sheetName val="【●非表示】開発合算"/>
      <sheetName val="【●非表示】ｾﾞ岸"/>
      <sheetName val="【●非表示】ｾﾞ小野寺"/>
      <sheetName val="【●非表示】ｾﾞ木谷"/>
      <sheetName val="【●非表示】ｾﾞ小栗"/>
      <sheetName val="【●非表示】ｾﾞﾈﾗﾙその他"/>
      <sheetName val="【●非表示】ｴ耕平"/>
      <sheetName val="【●非表示】ｴ高石"/>
      <sheetName val="【●非表示】ｴ原"/>
      <sheetName val="【●非表示】LED開発P"/>
      <sheetName val="【●非表示】ｴﾝｼﾞﾆｱその他"/>
      <sheetName val="【●非表示】ｸﾞﾛｰﾊﾞﾙ"/>
      <sheetName val="AP(ｴﾝｼﾞﾆｱ)①"/>
      <sheetName val="AP(ｴﾝｼﾞﾆｱ)②"/>
      <sheetName val="AP(ｾﾞﾈﾗﾙ)①"/>
      <sheetName val="AP(ｾﾞﾈﾗﾙ)②"/>
      <sheetName val="▲①-収納ｲﾝﾃ"/>
      <sheetName val="▲①-ﾍﾟｯﾄ"/>
      <sheetName val="▲①-園芸植物"/>
      <sheetName val="▲①-ﾎｰﾑ"/>
      <sheetName val="▲①-HO"/>
      <sheetName val="▲①-HE"/>
      <sheetName val="▲①-資材"/>
      <sheetName val="▲①-LED"/>
      <sheetName val="【●非表示】店舗什器事業部"/>
      <sheetName val="【●非表示】内装家具事業部"/>
      <sheetName val="【●非表示】ｼﾝﾌﾟﾙｽﾀｲﾙ事業部"/>
      <sheetName val="▲②-全社"/>
      <sheetName val="▲②-収納・ｲﾝﾃﾘｱ"/>
      <sheetName val="▲②-ﾍﾟｯﾄ"/>
      <sheetName val="▲②-園芸・植物"/>
      <sheetName val="▲②-ﾎｰﾑ"/>
      <sheetName val="▲②-HO"/>
      <sheetName val="▲②-HE"/>
      <sheetName val="▲②-資材"/>
      <sheetName val="▲②-LED"/>
      <sheetName val="元 (2)"/>
      <sheetName val="回答電話番号リスト"/>
      <sheetName val="店長週報"/>
      <sheetName val="ｱｸｾｽｸﾞﾗﾌ"/>
      <sheetName val="宛名"/>
      <sheetName val="For Hier template"/>
      <sheetName val="Ｓ一月度"/>
      <sheetName val="041(茶） "/>
      <sheetName val="dptFMT"/>
      <sheetName val="事FMT"/>
      <sheetName val="調FMT"/>
      <sheetName val="ｶﾃ"/>
      <sheetName val="人口移動第４表"/>
      <sheetName val="家電担当者 "/>
      <sheetName val="SEIｶﾗｰ"/>
      <sheetName val="⑤弁当"/>
      <sheetName val="第3四半期（完）"/>
      <sheetName val="外注トライ"/>
      <sheetName val="Ｃ'表"/>
      <sheetName val="数値 (婦人)"/>
      <sheetName val="H9.1"/>
      <sheetName val="H9_1"/>
      <sheetName val="数値_(婦人)"/>
      <sheetName val="ラベル表"/>
      <sheetName val="WE800200"/>
      <sheetName val="売上(衣)"/>
      <sheetName val="メニュー【数量】 第二事業部"/>
      <sheetName val="検査結果一覧(日本受入)"/>
      <sheetName val="ｱﾐｸﾚｰﾑ"/>
      <sheetName val="Plan sbA"/>
      <sheetName val="IV&amp;PL"/>
      <sheetName val="バックデータ"/>
      <sheetName val="商品ﾏｽﾀｰ(1月25日)"/>
      <sheetName val="入力"/>
      <sheetName val="2000LISTｔｒｕｅ 1117"/>
      <sheetName val="週別主力商品(婦人)"/>
      <sheetName val="社外秘；HCﾋﾞｼﾞﾈｽﾁｬﾝｽ"/>
      <sheetName val="０５３合計"/>
      <sheetName val="Sheet1 (2)"/>
      <sheetName val="実績・予測"/>
      <sheetName val="SKU_31"/>
      <sheetName val="生データ"/>
      <sheetName val="　月次報告（数値データ）　"/>
      <sheetName val="リスト"/>
      <sheetName val="行楽ﾌｪｱ"/>
      <sheetName val="H9_11"/>
      <sheetName val="数値_(婦人)1"/>
      <sheetName val="メニュー【数量】_第二事業部"/>
      <sheetName val="Plan_sbA"/>
      <sheetName val="2000LISTｔｒｕｅ_1117"/>
      <sheetName val="決裁条件・ルート変更"/>
      <sheetName val="ﾊﾟﾗｿﾙ2段"/>
      <sheetName val="ラックEXPO"/>
      <sheetName val="H9_12"/>
      <sheetName val="数値_(婦人)2"/>
      <sheetName val="メニュー【数量】_第二事業部1"/>
      <sheetName val="Plan_sbA1"/>
      <sheetName val="2000LISTｔｒｕｅ_11171"/>
      <sheetName val="Sheet1_(2)"/>
      <sheetName val="●キャンペーン・企画ヒアリング"/>
      <sheetName val="ﾌﾟﾚｾﾞﾝ資"/>
      <sheetName val="ＳＥＪフロアの使用について"/>
      <sheetName val=""/>
      <sheetName val="与信一覧_(2)3"/>
      <sheetName val="041(茶）_"/>
      <sheetName val="家電担当者_"/>
      <sheetName val="経費FMT_管理科目"/>
      <sheetName val="６月方向性_"/>
      <sheetName val="６月店舗_"/>
      <sheetName val="ライン傾向と対策_"/>
      <sheetName val="上位クラス_"/>
      <sheetName val="上位単品_"/>
      <sheetName val="元_(2)"/>
      <sheetName val="For_Hier_template"/>
      <sheetName val="数値_(婦人)3"/>
      <sheetName val="H9_13"/>
      <sheetName val="メニュー【数量】_第二事業部2"/>
      <sheetName val="Plan_sbA2"/>
      <sheetName val="2000LISTｔｒｕｅ_11172"/>
      <sheetName val="Sheet1_(2)1"/>
      <sheetName val="AI-YMD8YH-ED031207-1fix040319"/>
      <sheetName val="入力リスト"/>
      <sheetName val="与信一覧_(2)4"/>
      <sheetName val="経費FMT_管理科目1"/>
      <sheetName val="６月方向性_1"/>
      <sheetName val="６月店舗_1"/>
      <sheetName val="ライン傾向と対策_1"/>
      <sheetName val="上位クラス_1"/>
      <sheetName val="上位単品_1"/>
      <sheetName val="元_(2)1"/>
      <sheetName val="For_Hier_template1"/>
      <sheetName val="041(茶）_1"/>
      <sheetName val="家電担当者_1"/>
      <sheetName val="数値_(婦人)4"/>
      <sheetName val="H9_14"/>
      <sheetName val="メニュー【数量】_第二事業部3"/>
      <sheetName val="Plan_sbA3"/>
      <sheetName val="2000LISTｔｒｕｅ_11173"/>
      <sheetName val="Sheet1_(2)2"/>
      <sheetName val="エクステリア"/>
      <sheetName val="与信一覧_(2)7"/>
      <sheetName val="経費FMT_管理科目4"/>
      <sheetName val="６月方向性_4"/>
      <sheetName val="６月店舗_4"/>
      <sheetName val="ライン傾向と対策_4"/>
      <sheetName val="上位クラス_4"/>
      <sheetName val="上位単品_4"/>
      <sheetName val="元_(2)4"/>
      <sheetName val="For_Hier_template4"/>
      <sheetName val="041(茶）_4"/>
      <sheetName val="家電担当者_4"/>
      <sheetName val="数値_(婦人)7"/>
      <sheetName val="H9_17"/>
      <sheetName val="メニュー【数量】_第二事業部6"/>
      <sheetName val="Plan_sbA6"/>
      <sheetName val="2000LISTｔｒｕｅ_11176"/>
      <sheetName val="Sheet1_(2)5"/>
      <sheetName val="与信一覧_(2)5"/>
      <sheetName val="経費FMT_管理科目2"/>
      <sheetName val="６月方向性_2"/>
      <sheetName val="６月店舗_2"/>
      <sheetName val="ライン傾向と対策_2"/>
      <sheetName val="上位クラス_2"/>
      <sheetName val="上位単品_2"/>
      <sheetName val="元_(2)2"/>
      <sheetName val="For_Hier_template2"/>
      <sheetName val="041(茶）_2"/>
      <sheetName val="家電担当者_2"/>
      <sheetName val="数値_(婦人)5"/>
      <sheetName val="H9_15"/>
      <sheetName val="メニュー【数量】_第二事業部4"/>
      <sheetName val="Plan_sbA4"/>
      <sheetName val="2000LISTｔｒｕｅ_11174"/>
      <sheetName val="Sheet1_(2)3"/>
      <sheetName val="与信一覧_(2)6"/>
      <sheetName val="経費FMT_管理科目3"/>
      <sheetName val="６月方向性_3"/>
      <sheetName val="６月店舗_3"/>
      <sheetName val="ライン傾向と対策_3"/>
      <sheetName val="上位クラス_3"/>
      <sheetName val="上位単品_3"/>
      <sheetName val="元_(2)3"/>
      <sheetName val="For_Hier_template3"/>
      <sheetName val="041(茶）_3"/>
      <sheetName val="家電担当者_3"/>
      <sheetName val="数値_(婦人)6"/>
      <sheetName val="H9_16"/>
      <sheetName val="メニュー【数量】_第二事業部5"/>
      <sheetName val="Plan_sbA5"/>
      <sheetName val="2000LISTｔｒｕｅ_11175"/>
      <sheetName val="Sheet1_(2)4"/>
      <sheetName val="ＰＯＰ原本"/>
      <sheetName val="日別予算"/>
      <sheetName val="表3"/>
      <sheetName val="図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ﾀｲﾄﾙ"/>
      <sheetName val="ENGEI"/>
      <sheetName val="ぺっと"/>
      <sheetName val="HKS"/>
      <sheetName val="HCL"/>
      <sheetName val="全社"/>
      <sheetName val="全合計"/>
      <sheetName val="開発全社"/>
      <sheetName val="社外秘；HCﾋﾞｼﾞﾈｽﾁｬﾝｽ"/>
      <sheetName val="shere"/>
      <sheetName val="RD9501V"/>
      <sheetName val="9809ｸﾞﾗﾌ"/>
      <sheetName val="NEW95G2"/>
      <sheetName val="RD9505A"/>
      <sheetName val="更新版"/>
      <sheetName val="入力"/>
      <sheetName val="13年度発生売上予算"/>
      <sheetName val="A"/>
      <sheetName val="#REF"/>
      <sheetName val="Ｃ’表"/>
      <sheetName val="GSV目標"/>
      <sheetName val="昨対"/>
      <sheetName val="1"/>
      <sheetName val="ﾄﾞｯﾄｺﾑ"/>
      <sheetName val="ポイント付与"/>
      <sheetName val="竹四つ目垣"/>
      <sheetName val="表3"/>
      <sheetName val="SKU_31"/>
      <sheetName val="図8"/>
      <sheetName val="バックデータ"/>
      <sheetName val="市場クレーム明細 "/>
      <sheetName val="ｱｸｾｽｸﾞﾗﾌ"/>
      <sheetName val="HQ"/>
      <sheetName val="管理引当金"/>
      <sheetName val="溶接付加"/>
      <sheetName val="지함시장"/>
      <sheetName val="好調不調"/>
      <sheetName val="●キャンペーン・企画ヒアリング"/>
      <sheetName val="住所録"/>
      <sheetName val="与信一覧 (2)"/>
      <sheetName val="週別部門別実績 (2)"/>
      <sheetName val="43"/>
      <sheetName val="店在一覧"/>
      <sheetName val="11wG部門ﾗﾝｷﾝｸﾞ"/>
      <sheetName val="HE(他）"/>
      <sheetName val="データ入力"/>
      <sheetName val="お米購入者分析"/>
      <sheetName val="P1実績①"/>
      <sheetName val="SBプラ鉢"/>
      <sheetName val="明細"/>
      <sheetName val="Ｃ’’表"/>
      <sheetName val="容量別シェア（年別）　"/>
      <sheetName val="ｷﾞﾌﾄ"/>
      <sheetName val="10.20-11.12"/>
      <sheetName val="Sheet1 (2)"/>
      <sheetName val="★京東キッチン専門店"/>
      <sheetName val="#REF!"/>
      <sheetName val="市場クレーム明細_"/>
      <sheetName val="与信一覧_(2)"/>
      <sheetName val="週別部門別実績_(2)"/>
      <sheetName val="10_20-11_12"/>
      <sheetName val="5月"/>
      <sheetName val="SEIｶﾗｰ"/>
      <sheetName val="市場クレーム明細_1"/>
      <sheetName val="与信一覧_(2)1"/>
      <sheetName val="週別部門別実績_(2)1"/>
      <sheetName val="10_20-11_121"/>
      <sheetName val="Sheet1_(2)"/>
      <sheetName val="　月次報告（数値データ）　"/>
      <sheetName val="para"/>
      <sheetName val="011101"/>
      <sheetName val="園芸一覧"/>
      <sheetName val="审核公式"/>
      <sheetName val="ST障害管理表"/>
      <sheetName val="単価は最低納価使用"/>
      <sheetName val="比較ヘッダー"/>
      <sheetName val="リスト"/>
      <sheetName val="提出用EXCEL"/>
      <sheetName val="検査結果一覧(日本受入)"/>
      <sheetName val="科目名称"/>
      <sheetName val="全集計"/>
      <sheetName val="提供用EXCEL"/>
      <sheetName val="00Sheet1"/>
      <sheetName val="ｱﾐｸﾚｰﾑ"/>
      <sheetName val="支給品一覧表"/>
      <sheetName val="御見積書"/>
      <sheetName val="部材表"/>
      <sheetName val="売上速報19973"/>
      <sheetName val="生産計画"/>
      <sheetName val="対象製品"/>
      <sheetName val="入力フォーム"/>
      <sheetName val="BAB"/>
      <sheetName val="実績部別"/>
      <sheetName val="配荷目標"/>
      <sheetName val="貼付画面T"/>
      <sheetName val="貼付画面R"/>
      <sheetName val="全体"/>
      <sheetName val="ﾏｸﾛ用1"/>
      <sheetName val="名簿8月"/>
      <sheetName val="注意事項"/>
      <sheetName val="46WG部門ﾗﾝｷﾝｸﾞ"/>
      <sheetName val="ﾃﾞｰﾀ"/>
      <sheetName val="ﾌﾟﾚｾﾞﾝ資"/>
      <sheetName val="Ｃ'表"/>
      <sheetName val=""/>
      <sheetName val="ﾁﾗｼ枚数"/>
      <sheetName val="ﾁﾗｼ"/>
      <sheetName val="Control"/>
      <sheetName val="部門別計画表"/>
      <sheetName val="S070080"/>
      <sheetName val="11年度発生売上予算提出書類"/>
      <sheetName val="■13店別展開パターン表"/>
      <sheetName val="■1２店別展開パターン表"/>
      <sheetName val="カテゴリ・プロジェクトリスト"/>
      <sheetName val="Sheet2"/>
      <sheetName val="市場クレーム明細_2"/>
      <sheetName val="与信一覧_(2)2"/>
      <sheetName val="週別部門別実績_(2)2"/>
      <sheetName val="10_20-11_122"/>
      <sheetName val="Sheet1_(2)1"/>
      <sheetName val="単品別"/>
      <sheetName val="カテゴリー分類別 (2019)"/>
      <sheetName val="d"/>
      <sheetName val="カテゴリー分類別_(2019)"/>
      <sheetName val="ﾊｰﾄﾞ①【全データ】"/>
      <sheetName val="入力リスト"/>
      <sheetName val="Sheet1"/>
      <sheetName val="Master"/>
      <sheetName val="商品台帳"/>
      <sheetName val="Sheet105"/>
      <sheetName val="Sheet130"/>
      <sheetName val="商品"/>
      <sheetName val="業務依頼書"/>
      <sheetName val="品種別数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 refreshError="1"/>
      <sheetData sheetId="132" refreshError="1"/>
      <sheetData sheetId="133" refreshError="1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RD9501V"/>
      <sheetName val="RD9505A"/>
      <sheetName val="竹四つ目垣"/>
      <sheetName val="営業所８"/>
      <sheetName val="#REF"/>
      <sheetName val="NEW95G2"/>
      <sheetName val="昨対"/>
      <sheetName val="RD9508V"/>
      <sheetName val="SKU_31"/>
      <sheetName val="０５３合計"/>
      <sheetName val="バックデータ"/>
      <sheetName val="Sheet1"/>
      <sheetName val="ENGEI"/>
      <sheetName val="ぺっと"/>
      <sheetName val="収納"/>
      <sheetName val="工具"/>
      <sheetName val="カー用品"/>
      <sheetName val="日用品"/>
      <sheetName val="全社"/>
      <sheetName val="RD9505O"/>
      <sheetName val="[RD9"/>
      <sheetName val="_RD9"/>
      <sheetName val="5月"/>
      <sheetName val="改廃一覧社外秘"/>
      <sheetName val="端末設置状況"/>
      <sheetName val="手順①追加修正連絡票"/>
      <sheetName val="ﾃﾞｰﾀ"/>
      <sheetName val="提案書"/>
      <sheetName val="Ｗｅｂｱﾝｹｰﾄ①"/>
      <sheetName val="Ｗｅｂｱﾝｹｰﾄ②"/>
      <sheetName val="data"/>
      <sheetName val="ﾊｰﾄﾞｵﾌｨｽ価格表"/>
      <sheetName val="一覧表"/>
      <sheetName val="CPU"/>
      <sheetName val="12月"/>
      <sheetName val="043"/>
      <sheetName val="046"/>
      <sheetName val="055"/>
      <sheetName val="ﾃﾞｰﾀｲﾝﾌﾟｯﾄ欄"/>
      <sheetName val="dptFMT"/>
      <sheetName val="事FMT"/>
      <sheetName val="調FMT"/>
      <sheetName val="ｶﾃ"/>
      <sheetName val="Control"/>
      <sheetName val="涼味"/>
      <sheetName val="トレンド表"/>
      <sheetName val="8以上社員"/>
      <sheetName val="規格書"/>
      <sheetName val="人口移動第４表"/>
      <sheetName val="shere"/>
      <sheetName val="与信一覧 (2)"/>
      <sheetName val="全合計"/>
      <sheetName val="13_hashihara01"/>
      <sheetName val="29_hashihara13"/>
      <sheetName val="住所録"/>
      <sheetName val="更新版"/>
      <sheetName val="A"/>
      <sheetName val="HQ"/>
      <sheetName val="GSV目標"/>
      <sheetName val="Ｃ’表"/>
      <sheetName val="大人12"/>
      <sheetName val="入力フォーム"/>
      <sheetName val="13年度発生売上予算"/>
      <sheetName val="宛名"/>
      <sheetName val="para"/>
      <sheetName val="１"/>
      <sheetName val="１業種"/>
      <sheetName val="ExChange"/>
      <sheetName val="新ﾗｲﾝ(部品展開)"/>
      <sheetName val="ｲﾎﾞ竹販売数調整"/>
      <sheetName val="管理引当金"/>
      <sheetName val="表3"/>
      <sheetName val="1"/>
      <sheetName val="43"/>
      <sheetName val="配荷"/>
      <sheetName val="ｵｰﾀﾞｰ"/>
      <sheetName val="P1実績①"/>
      <sheetName val="西川繊維２０９ニトリ在庫報告"/>
      <sheetName val="おでん"/>
      <sheetName val="国勢DATA1"/>
      <sheetName val="国勢DATA2"/>
      <sheetName val="国勢DATA3"/>
      <sheetName val="国勢DATA県"/>
      <sheetName val="消費DATA1"/>
      <sheetName val="消費DATA2"/>
      <sheetName val="消費DATA3"/>
      <sheetName val="消費DATA県"/>
      <sheetName val="入力リスト"/>
      <sheetName val="図8"/>
      <sheetName val="ﾄﾞｯﾄｺﾑ"/>
      <sheetName val="行楽ﾌｪｱ"/>
      <sheetName val="表紙"/>
      <sheetName val="仕訳①"/>
      <sheetName val="媒体管理表"/>
      <sheetName val="shtBuff"/>
      <sheetName val="copy1"/>
      <sheetName val="好調不調"/>
      <sheetName val="大型店版"/>
      <sheetName val="収納・インテ"/>
      <sheetName val="#REF!"/>
      <sheetName val="ｱｸｾｽｸﾞﾗﾌ"/>
      <sheetName val="HE(他）"/>
      <sheetName val="仕入先"/>
      <sheetName val="対象製品"/>
      <sheetName val="8510 (2)"/>
      <sheetName val="0310"/>
      <sheetName val="CM予定表(～2012年3月）"/>
      <sheetName val="25DJ40"/>
      <sheetName val="社外秘；HCﾋﾞｼﾞﾈｽﾁｬﾝｽ"/>
      <sheetName val="11wG部門ﾗﾝｷﾝｸﾞ"/>
      <sheetName val="販売目標"/>
      <sheetName val="SBプラ鉢"/>
      <sheetName val="2000LISTｔｒｕｅ 1117"/>
      <sheetName val="実績・予測"/>
      <sheetName val="北空貼"/>
      <sheetName val="累計出荷実績"/>
      <sheetName val="Sheet1 (2)"/>
      <sheetName val="記入ﾌｫｰﾑ"/>
      <sheetName val="PAK6263"/>
      <sheetName val="４週指示"/>
      <sheetName val="RD9508V.XLS"/>
      <sheetName val="Sheet3"/>
      <sheetName val="元データー"/>
      <sheetName val="目次"/>
      <sheetName val="POP&amp;什器"/>
      <sheetName val="マスター"/>
      <sheetName val="ｼｰﾄ1"/>
      <sheetName val="提出用EXCEL"/>
      <sheetName val="通常発注書"/>
      <sheetName val="全体定番確定表"/>
      <sheetName val="生人台帳"/>
      <sheetName val="包材リスト"/>
      <sheetName val="初回納品"/>
      <sheetName val="単価は最低納価使用"/>
      <sheetName val="領収書"/>
      <sheetName val="編集用シート"/>
      <sheetName val="市場クレーム明細 "/>
      <sheetName val="与信一覧_(2)"/>
      <sheetName val="価格表"/>
      <sheetName val="経費"/>
      <sheetName val="Ｃ’’表"/>
      <sheetName val="Ｃ’’’’表"/>
      <sheetName val="10.20-11.12"/>
      <sheetName val="日本チーム計算根拠"/>
      <sheetName val="Plan sbA"/>
      <sheetName val="ROI"/>
      <sheetName val="検査結果一覧"/>
      <sheetName val="5-6月キャンペーン"/>
      <sheetName val="管理引当"/>
      <sheetName val="_Recovered_SheetName_ 1_"/>
      <sheetName val="NST (4)"/>
      <sheetName val="12年■SAS計画（全店舗）■"/>
      <sheetName val="POP申請フォーマット（ここに入力してください）"/>
      <sheetName val="　月次報告（数値データ）　"/>
      <sheetName val="与信一覧_(2)1"/>
      <sheetName val="8510_(2)"/>
      <sheetName val="2000LISTｔｒｕｅ_1117"/>
      <sheetName val="Sheet1_(2)"/>
      <sheetName val="RD9508V_XLS"/>
      <sheetName val="10_20-11_12"/>
      <sheetName val="Plan_sbA"/>
      <sheetName val="市場クレーム明細_"/>
      <sheetName val="提供用EXCEL"/>
      <sheetName val="与信一覧_(2)2"/>
      <sheetName val="8510_(2)1"/>
      <sheetName val="2000LISTｔｒｕｅ_11171"/>
      <sheetName val="Sheet1_(2)1"/>
      <sheetName val="RD9508V_XLS1"/>
      <sheetName val="10_20-11_121"/>
      <sheetName val="Plan_sbA1"/>
      <sheetName val="市場クレーム明細_1"/>
      <sheetName val="大連製造ＶＡコストダウン金額纏め (＄1000以上)."/>
      <sheetName val="033"/>
      <sheetName val="与信一覧_(2)3"/>
      <sheetName val="8510_(2)2"/>
      <sheetName val="2000LISTｔｒｕｅ_11172"/>
      <sheetName val="Sheet1_(2)2"/>
      <sheetName val="RD9508V_XLS2"/>
      <sheetName val="10_20-11_122"/>
      <sheetName val="Plan_sbA2"/>
      <sheetName val="市場クレーム明細_2"/>
      <sheetName val="ケチャップ有り"/>
      <sheetName val="_REF"/>
      <sheetName val="健康ﾌｪｱ外注(ﾌﾞﾛｯｸ)"/>
      <sheetName val="仕様変更進捗（ＡＬＬ）"/>
      <sheetName val="ｷﾞﾌﾄ・ﾃﾅﾝﾄ除く"/>
      <sheetName val="基本量販店動向"/>
      <sheetName val="点数"/>
      <sheetName val="データ入力"/>
      <sheetName val="SEIｶﾗｰ"/>
      <sheetName val="売上(衣)"/>
      <sheetName val="原料ﾚｼﾋﾟ"/>
      <sheetName val="商品ﾏｽﾀｰ"/>
      <sheetName val="POP-YMDMH-ARI040930-1"/>
      <sheetName val="②仙台"/>
      <sheetName val="①器具製作実績グラフ"/>
      <sheetName val="与信管理帳合"/>
      <sheetName val="粗利率順Wﾁｪｯｸ表"/>
      <sheetName val="板資材(M)"/>
      <sheetName val="入力"/>
      <sheetName val="①品名・梱包入力"/>
      <sheetName val="店別"/>
      <sheetName val="H9.1"/>
      <sheetName val="_Recovered_SheetName__1_"/>
      <sheetName val="日8L_B"/>
      <sheetName val="検査結果一覧(日本受入)"/>
      <sheetName val="不点灯交換の情報記載"/>
      <sheetName val="２月店舗経費実績"/>
      <sheetName val="１．社内ﾈｯﾄﾜｰｸﾊｰﾄﾞｳｪｱ"/>
      <sheetName val="ﾌﾟﾚｾﾞﾝ資"/>
      <sheetName val="じんこうTOPICS"/>
      <sheetName val="Ｃ実績①"/>
      <sheetName val="店舗マスタ"/>
      <sheetName val="先行管理記入例"/>
      <sheetName val="全件リスト"/>
      <sheetName val="D3"/>
      <sheetName val="graph"/>
      <sheetName val="SKU"/>
      <sheetName val="明細"/>
      <sheetName val="USA_3期グラフ"/>
      <sheetName val="【大連】部門損益"/>
      <sheetName val="廃番ﾃﾞｯﾄﾞ"/>
      <sheetName val="11年度発生売上予算提出書類"/>
      <sheetName val="2401"/>
      <sheetName val="Macro1"/>
      <sheetName val="ST障害管理表"/>
      <sheetName val="直送ｺﾝﾃﾅ管理表"/>
      <sheetName val="本体バック"/>
      <sheetName val="地域B"/>
      <sheetName val="G5"/>
      <sheetName val="SINAZ4月"/>
      <sheetName val="0606販売予測"/>
      <sheetName val="NST_(4)"/>
      <sheetName val="支給品一覧表"/>
      <sheetName val="メニュー"/>
      <sheetName val="設定"/>
      <sheetName val="フリーダイヤル"/>
      <sheetName val="機種"/>
      <sheetName val="発信元課金"/>
      <sheetName val="②東京"/>
      <sheetName val="②大阪"/>
      <sheetName val="大容量ﾀｲﾌﾟ"/>
      <sheetName val="47下管理"/>
      <sheetName val="ダンジ"/>
      <sheetName val="鳥栖"/>
      <sheetName val="営業所一覧"/>
      <sheetName val="部材表"/>
      <sheetName val="品目リスト"/>
      <sheetName val="LIST"/>
      <sheetName val="リスト"/>
      <sheetName val="証拠"/>
      <sheetName val="⑤弁当"/>
      <sheetName val="基本cvs動向"/>
      <sheetName val="営業実績"/>
      <sheetName val="万田酵素モニター"/>
      <sheetName val="品種別数量"/>
      <sheetName val="商品一覧"/>
      <sheetName val="入金実96"/>
      <sheetName val="元データ"/>
      <sheetName val="Ｃ'表"/>
      <sheetName val="Rent Roll"/>
      <sheetName val="定数"/>
      <sheetName val="マスタ"/>
      <sheetName val="Sheet2"/>
      <sheetName val="与信一覧_(2)4"/>
      <sheetName val="8510_(2)3"/>
      <sheetName val="2000LISTｔｒｕｅ_11173"/>
      <sheetName val="Sheet1_(2)3"/>
      <sheetName val="RD9508V_XLS3"/>
      <sheetName val="10_20-11_123"/>
      <sheetName val="市場クレーム明細_3"/>
      <sheetName val="_Recovered_SheetName__1_1"/>
      <sheetName val="NST_(4)1"/>
      <sheetName val="Plan_sbA3"/>
      <sheetName val="大連製造ＶＡコストダウン金額纏め_(＄1000以上)_"/>
      <sheetName val="H9_1"/>
      <sheetName val="外注トライ"/>
      <sheetName val="ｼﾞｬｽｺ商報"/>
      <sheetName val="集計①"/>
      <sheetName val="ﾌﾞﾗｼ梶"/>
      <sheetName val="クレジット決済"/>
      <sheetName val="32.ＹＢ構成"/>
      <sheetName val="0901"/>
      <sheetName val="0902"/>
      <sheetName val="0903"/>
      <sheetName val="0904"/>
      <sheetName val="0905"/>
      <sheetName val="0906"/>
      <sheetName val="0907"/>
      <sheetName val="0908"/>
      <sheetName val="0909"/>
      <sheetName val="0910"/>
      <sheetName val="0911"/>
      <sheetName val="0912"/>
      <sheetName val="対象者リスト"/>
      <sheetName val="受取配当金"/>
      <sheetName val="Rent_Roll"/>
      <sheetName val="Sheet5"/>
      <sheetName val="Sheet6"/>
      <sheetName val="Sheet7"/>
      <sheetName val="Sheet8"/>
      <sheetName val="Sheet9"/>
      <sheetName val="帳票"/>
      <sheetName val="52wG部門ﾗﾝｷﾝｸﾞ"/>
      <sheetName val="形材部品マスター"/>
      <sheetName val="企画書"/>
      <sheetName val="ラックEXPO"/>
      <sheetName val="クロス昨年"/>
      <sheetName val="クロス売上"/>
      <sheetName val="入力用"/>
      <sheetName val="アンケート集計(12.3）"/>
      <sheetName val="開店"/>
      <sheetName val="資材ＳＩＭ"/>
      <sheetName val="コード(腕時計)"/>
      <sheetName val="POP製作Ｂ"/>
      <sheetName val="PＯＰ制作Ａ新"/>
      <sheetName val="区分"/>
      <sheetName val="台湾～ｵﾏｰﾝ"/>
      <sheetName val="損益計画"/>
      <sheetName val="●キャンペーン・企画ヒアリング"/>
      <sheetName val="昨比データ"/>
      <sheetName val="Wﾁｪｯｸ表"/>
      <sheetName val="share"/>
      <sheetName val="売上速報19973"/>
      <sheetName val="全国"/>
      <sheetName val="ﾘｽﾄ"/>
      <sheetName val="エンド"/>
      <sheetName val="与信ｵｰﾊﾞｰ"/>
      <sheetName val="入力シート"/>
      <sheetName val="42.ＹＢ構成"/>
      <sheetName val="報告依頼部署"/>
      <sheetName val="HA実販"/>
      <sheetName val="部門別計画表"/>
      <sheetName val="メンテナンス受付台帳"/>
      <sheetName val="個数単価推移２００１"/>
      <sheetName val="ﾁｭｰﾘｯﾌﾟ"/>
      <sheetName val="ﾕﾘ"/>
      <sheetName val="ｽｲｾﾝ_ﾋﾔｼﾝｽ_ｸﾛｯｶｽ"/>
      <sheetName val="全件ﾘｽﾄ"/>
      <sheetName val="店舗情報"/>
      <sheetName val="30IY"/>
      <sheetName val="VIVA"/>
      <sheetName val="30VIVA"/>
      <sheetName val="ドイト"/>
      <sheetName val="30ドイト"/>
      <sheetName val="島忠"/>
      <sheetName val="30島忠"/>
      <sheetName val="貼付用"/>
      <sheetName val="家電担当者 "/>
      <sheetName val="Tp040611-2%"/>
      <sheetName val="集計シート(合算)"/>
      <sheetName val="与信一覧_(2)5"/>
      <sheetName val="8510_(2)4"/>
      <sheetName val="2000LISTｔｒｕｅ_11174"/>
      <sheetName val="Sheet1_(2)4"/>
      <sheetName val="RD9508V_XLS4"/>
      <sheetName val="10_20-11_124"/>
      <sheetName val="大連製造ＶＡコストダウン金額纏め_(＄1000以上)_1"/>
      <sheetName val="Plan_sbA4"/>
      <sheetName val="市場クレーム明細_4"/>
      <sheetName val="_Recovered_SheetName__1_2"/>
      <sheetName val="NST_(4)2"/>
      <sheetName val="H9_11"/>
      <sheetName val="Rent_Roll1"/>
      <sheetName val="32_ＹＢ構成"/>
      <sheetName val="カーサイクル"/>
      <sheetName val="tbl"/>
      <sheetName val="3_hashihara48"/>
      <sheetName val="月末"/>
      <sheetName val="⑧-2ﾊﾟﾀｰﾝ別店舗一覧"/>
      <sheetName val=""/>
      <sheetName val="万代比数"/>
      <sheetName val="Product"/>
      <sheetName val="taalcode"/>
      <sheetName val="与信一覧_(2)6"/>
      <sheetName val="8510_(2)5"/>
      <sheetName val="2000LISTｔｒｕｅ_11175"/>
      <sheetName val="Sheet1_(2)5"/>
      <sheetName val="RD9508V_XLS5"/>
      <sheetName val="10_20-11_125"/>
      <sheetName val="市場クレーム明細_5"/>
      <sheetName val="Plan_sbA5"/>
      <sheetName val="大連製造ＶＡコストダウン金額纏め_(＄1000以上)_2"/>
      <sheetName val="_Recovered_SheetName__1_3"/>
      <sheetName val="NST_(4)3"/>
      <sheetName val="H9_12"/>
      <sheetName val="Rent_Roll2"/>
      <sheetName val="32_ＹＢ構成1"/>
      <sheetName val="店舗（合算）"/>
      <sheetName val="全体AP資料10月(ＨＥ)"/>
      <sheetName val="見積書"/>
      <sheetName val="集計シート(IY)"/>
      <sheetName val="net_qty"/>
      <sheetName val="０５"/>
      <sheetName val="作業"/>
      <sheetName val="新商品比率ｸﾞﾗﾌ"/>
      <sheetName val="店舗一覧"/>
      <sheetName val="貼付画面1"/>
      <sheetName val="ﾌｰｽﾞ売荒"/>
      <sheetName val="選択"/>
      <sheetName val="商品台帳"/>
      <sheetName val="ライン・月別　品目数表"/>
      <sheetName val="検質報告書"/>
      <sheetName val="コンテナ事故報告"/>
      <sheetName val="業態"/>
      <sheetName val="仕入処理ルール"/>
      <sheetName val="事業部"/>
      <sheetName val="ﾊｰﾄﾞ①【全データ】"/>
      <sheetName val="品種別計画表〈予算）"/>
      <sheetName val="広域２部３部結合"/>
      <sheetName val="生産計画"/>
      <sheetName val="比較ヘッダー"/>
      <sheetName val="Sheet16"/>
      <sheetName val="011101"/>
      <sheetName val="01-072"/>
      <sheetName val="shtWork1"/>
      <sheetName val="銘柄７（浸透ﾗﾝｸ）"/>
      <sheetName val="印鑑捺印ﾏｸﾛ"/>
      <sheetName val="ﾁﾗｼ"/>
      <sheetName val="0127000受注処理"/>
      <sheetName val="取引先等一覧"/>
      <sheetName val="与信一覧_(2)7"/>
      <sheetName val="8510_(2)6"/>
      <sheetName val="2000LISTｔｒｕｅ_11176"/>
      <sheetName val="Sheet1_(2)6"/>
      <sheetName val="_Recovered_SheetName__1_4"/>
      <sheetName val="RD9508V_XLS6"/>
      <sheetName val="10_20-11_126"/>
      <sheetName val="市場クレーム明細_6"/>
      <sheetName val="Plan_sbA6"/>
      <sheetName val="NST_(4)4"/>
      <sheetName val="大連製造ＶＡコストダウン金額纏め_(＄1000以上)_3"/>
      <sheetName val="H9_13"/>
      <sheetName val="Rent_Roll3"/>
      <sheetName val="32_ＹＢ構成2"/>
      <sheetName val="台帳"/>
      <sheetName val="単価"/>
      <sheetName val="新MDPC納品状況（ＩＹ）"/>
      <sheetName val="第２章 1.食料品消費支出2"/>
      <sheetName val="計算"/>
      <sheetName val="溶接付加"/>
      <sheetName val="区分値シート"/>
      <sheetName val="加工"/>
      <sheetName val="加工２"/>
      <sheetName val="商品マスタ"/>
      <sheetName val="店別売上構成比"/>
      <sheetName val="外食Z県別"/>
      <sheetName val="D28依頼書表紙"/>
      <sheetName val="ｷﾞﾌﾄ"/>
      <sheetName val="JUUGYOUIN"/>
      <sheetName val="加工シート"/>
      <sheetName val="■13店別展開パターン表 (3)"/>
      <sheetName val="■13店別展開パターン表"/>
      <sheetName val="ＭG５５５、５５４チャンネル"/>
      <sheetName val="プルダウンメニュー20190201"/>
      <sheetName val="プルダウンメニュー20190401"/>
      <sheetName val="家電担当者_"/>
      <sheetName val="42_ＹＢ構成"/>
      <sheetName val="アンケート集計(12_3）"/>
      <sheetName val="窓枠ｾｯﾄR"/>
      <sheetName val="ﾏｽﾀｰ"/>
      <sheetName val="ﾃﾞｰﾀ入力"/>
      <sheetName val="MCDSS"/>
      <sheetName val="選択項目一覧 "/>
      <sheetName val="仕入計画AI8月"/>
      <sheetName val="QRＳ"/>
      <sheetName val="売上集計"/>
      <sheetName val="ﾏｽﾀｰ入･出力ｼｰﾄ"/>
      <sheetName val="プルダウン項目"/>
      <sheetName val="H7昇格者"/>
      <sheetName val="宅配伝票リスト"/>
      <sheetName val="APPLE"/>
      <sheetName val="SIM00_SB"/>
      <sheetName val="クレーム解析記録"/>
      <sheetName val="比較表"/>
      <sheetName val="布団乾燥機ｐｐｍ"/>
      <sheetName val="06.05"/>
      <sheetName val="06.05イン"/>
      <sheetName val="06.05直営"/>
      <sheetName val="現状鳥栖 (事業部予測) "/>
      <sheetName val="Sheet4"/>
      <sheetName val="データ"/>
      <sheetName val="商品構成ｸﾞﾗﾌ（売価別）"/>
      <sheetName val="○得計画"/>
      <sheetName val="イキプラ選定ラインクラス表"/>
      <sheetName val="契約上棟ｸﾞﾗﾌ"/>
      <sheetName val="貼付画面T"/>
      <sheetName val="貼付画面R"/>
      <sheetName val="平均単価"/>
      <sheetName val="週別主力商品(婦人)"/>
      <sheetName val="市場規模"/>
      <sheetName val="選択項目"/>
      <sheetName val="確認完了報告"/>
      <sheetName val="経費FMT 管理科目"/>
      <sheetName val="分類一覧"/>
      <sheetName val="昨年比データ"/>
      <sheetName val="ワーク"/>
      <sheetName val="SC入替"/>
      <sheetName val="0801_03全体実績集計"/>
      <sheetName val="8.3～新商品"/>
      <sheetName val="ﾃﾞｰﾀｼｰﾄ"/>
      <sheetName val="シート１"/>
      <sheetName val="抽出_Pivot"/>
      <sheetName val="3月消臭元"/>
      <sheetName val="外注データ(ここへ入力)"/>
      <sheetName val="ぶつﾏｽﾀｰ"/>
      <sheetName val="ディックＤ"/>
      <sheetName val="フジＤ"/>
      <sheetName val="事Ｄ"/>
      <sheetName val="発売済（価格表反映済）"/>
      <sheetName val="NJ基本data"/>
      <sheetName val="現場監督情報"/>
      <sheetName val="案件一覧控え"/>
      <sheetName val="月別落込(新店込)"/>
      <sheetName val="ＦＤ実績 "/>
      <sheetName val="㋱ＰＯＳｏｕｔ実績"/>
      <sheetName val="8月度メーカー比較"/>
      <sheetName val="201808実績"/>
      <sheetName val="201908実績"/>
      <sheetName val="前年比較"/>
      <sheetName val="盆金封"/>
      <sheetName val="軽減税率･ﾊﾝﾃﾞｨﾌｧﾝ"/>
      <sheetName val="STｹｼ･ﾋﾟｯﾄ"/>
      <sheetName val="STｹｼ比較"/>
      <sheetName val="6月度"/>
      <sheetName val="７月度 "/>
      <sheetName val="8月度"/>
      <sheetName val="マスク"/>
      <sheetName val="業務依頼書"/>
      <sheetName val="ﾘﾍﾞｰﾄﾗﾝｸ2000"/>
      <sheetName val="工事予算書"/>
      <sheetName val="YAMADA_TSUKUMO_分類比較"/>
      <sheetName val="アパート６６６０"/>
      <sheetName val="原紙"/>
      <sheetName val="第3四半期（完）"/>
      <sheetName val="弊社分類別実績"/>
      <sheetName val="貴社分類別別実績"/>
      <sheetName val="現地通貨"/>
      <sheetName val="Catalog"/>
      <sheetName val="Settings"/>
      <sheetName val="店舗P"/>
      <sheetName val="Front Cover 表紙（３SET）"/>
      <sheetName val="与信一覧_(2)8"/>
      <sheetName val="8510_(2)7"/>
      <sheetName val="2000LISTｔｒｕｅ_11177"/>
      <sheetName val="Sheet1_(2)7"/>
      <sheetName val="RD9508V_XLS7"/>
      <sheetName val="10_20-11_127"/>
      <sheetName val="市場クレーム明細_7"/>
      <sheetName val="_Recovered_SheetName__1_5"/>
      <sheetName val="NST_(4)5"/>
      <sheetName val="Plan_sbA7"/>
      <sheetName val="大連製造ＶＡコストダウン金額纏め_(＄1000以上)_4"/>
      <sheetName val="H9_14"/>
      <sheetName val="Rent_Roll4"/>
      <sheetName val="32_ＹＢ構成3"/>
      <sheetName val="アンケート集計(12_3）1"/>
      <sheetName val="家電担当者_1"/>
      <sheetName val="42_ＹＢ構成1"/>
      <sheetName val="第２章_1_食料品消費支出2"/>
      <sheetName val="■13店別展開パターン表_(3)"/>
      <sheetName val="選択項目一覧_"/>
      <sheetName val="06_05"/>
      <sheetName val="06_05イン"/>
      <sheetName val="06_05直営"/>
      <sheetName val="現状鳥栖_(事業部予測)_"/>
      <sheetName val="8_3～新商品"/>
      <sheetName val="ＦＤ実績_"/>
      <sheetName val="７月度_"/>
      <sheetName val="経費FMT_管理科目"/>
      <sheetName val="与信一覧_(2)9"/>
      <sheetName val="8510_(2)8"/>
      <sheetName val="2000LISTｔｒｕｅ_11178"/>
      <sheetName val="Sheet1_(2)8"/>
      <sheetName val="RD9508V_XLS8"/>
      <sheetName val="10_20-11_128"/>
      <sheetName val="Plan_sbA8"/>
      <sheetName val="市場クレーム明細_8"/>
      <sheetName val="_Recovered_SheetName__1_6"/>
      <sheetName val="NST_(4)6"/>
      <sheetName val="大連製造ＶＡコストダウン金額纏め_(＄1000以上)_5"/>
      <sheetName val="H9_15"/>
      <sheetName val="Rent_Roll5"/>
      <sheetName val="32_ＹＢ構成4"/>
      <sheetName val="アンケート集計(12_3）2"/>
      <sheetName val="家電担当者_2"/>
      <sheetName val="42_ＹＢ構成2"/>
      <sheetName val="第２章_1_食料品消費支出21"/>
      <sheetName val="■13店別展開パターン表_(3)1"/>
      <sheetName val="選択項目一覧_1"/>
      <sheetName val="06_051"/>
      <sheetName val="06_05イン1"/>
      <sheetName val="06_05直営1"/>
      <sheetName val="現状鳥栖_(事業部予測)_1"/>
      <sheetName val="8_3～新商品1"/>
      <sheetName val="ＦＤ実績_1"/>
      <sheetName val="７月度_1"/>
      <sheetName val="経費FMT_管理科目1"/>
      <sheetName val="配荷目標"/>
      <sheetName val="新"/>
      <sheetName val="集計表"/>
      <sheetName val="人時予算"/>
      <sheetName val="消耗品"/>
      <sheetName val="基本"/>
      <sheetName val="ﾌﾙｰﾂ村pet"/>
      <sheetName val="表紙数字"/>
      <sheetName val="一覧"/>
      <sheetName val="WORK"/>
      <sheetName val="予算・計画検証"/>
      <sheetName val="消すな！"/>
      <sheetName val="棚卸030203下田"/>
      <sheetName val="ＮＣ"/>
      <sheetName val="和風アイス調査アンケート結果"/>
      <sheetName val="社員マスタ"/>
      <sheetName val="INS住まい"/>
      <sheetName val="部品分類明細"/>
      <sheetName val="部品分類明細 (2)"/>
      <sheetName val="ﾃﾚｺTｼｬﾂ"/>
      <sheetName val="データ作成シート"/>
      <sheetName val="サマリ"/>
      <sheetName val="改廃棚割商品ｶﾙﾃ1（要記入）"/>
      <sheetName val="日配マスター"/>
      <sheetName val="ParamCATE"/>
      <sheetName val="ParamCLASS"/>
      <sheetName val="ParamTENPO"/>
      <sheetName val="ParamBUMON"/>
      <sheetName val="設定画面"/>
      <sheetName val="つばさ保育園"/>
      <sheetName val="近文保育所"/>
      <sheetName val="いずみこども保育園"/>
      <sheetName val="慈光園保育所"/>
      <sheetName val="東神楽中央保育園"/>
      <sheetName val="神楽保育園 "/>
      <sheetName val="ふたばの庭"/>
      <sheetName val="商品マスター"/>
      <sheetName val="店舗リスト"/>
      <sheetName val="担当表"/>
      <sheetName val="富田貼"/>
      <sheetName val="数値生鮮フロア"/>
      <sheetName val="状態・数値割合"/>
      <sheetName val="数値フロア"/>
      <sheetName val="状態個人別"/>
      <sheetName val="主要港 10"/>
      <sheetName val="販促実績 (2)"/>
      <sheetName val="粗利リビングステージ"/>
      <sheetName val="粗利ｱﾚｺﾚ"/>
      <sheetName val="商品名"/>
      <sheetName val="貸出比較"/>
      <sheetName val="仕入"/>
      <sheetName val="シミュレーションD1 "/>
      <sheetName val="地域 CD"/>
      <sheetName val="ほうれん草とﾍﾞｰｺﾝ"/>
      <sheetName val="商品規格書"/>
      <sheetName val="八  (2)"/>
      <sheetName val="青 (3)"/>
      <sheetName val="仙台"/>
      <sheetName val="関東 (2)"/>
      <sheetName val="関東"/>
      <sheetName val="札"/>
      <sheetName val="青 (2)"/>
      <sheetName val="八 "/>
      <sheetName val="二本松"/>
      <sheetName val="二本松 (2)"/>
      <sheetName val="二本松 (3)"/>
      <sheetName val="二本松 (4)"/>
      <sheetName val="メーカー欠品横持"/>
      <sheetName val="メーカー欠品拠点横持報告書（本社行）盛岡"/>
      <sheetName val="粗利ｱｳﾄﾚｯﾄ"/>
      <sheetName val="アレコレ予算"/>
      <sheetName val="シュミレーション"/>
      <sheetName val="2018 年間計画"/>
      <sheetName val="備考3"/>
      <sheetName val="2019 予算2"/>
      <sheetName val="2018 高松店方針"/>
      <sheetName val="2018売上粗利計画"/>
      <sheetName val="18年度販促計画 "/>
      <sheetName val="組織と担当"/>
      <sheetName val="地区別実績"/>
      <sheetName val="マッピング"/>
      <sheetName val="★展示構成表"/>
      <sheetName val="売上構成表"/>
      <sheetName val="2017年間実績"/>
      <sheetName val="月別売上計画"/>
      <sheetName val="月別粗利計画 "/>
      <sheetName val="在庫金額"/>
      <sheetName val="3"/>
      <sheetName val="与信一覧_(2)10"/>
      <sheetName val="8510_(2)9"/>
      <sheetName val="2000LISTｔｒｕｅ_11179"/>
      <sheetName val="Sheet1_(2)9"/>
      <sheetName val="RD9508V_XLS9"/>
      <sheetName val="_Recovered_SheetName__1_7"/>
      <sheetName val="10_20-11_129"/>
      <sheetName val="市場クレーム明細_9"/>
      <sheetName val="Plan_sbA9"/>
      <sheetName val="NST_(4)7"/>
      <sheetName val="大連製造ＶＡコストダウン金額纏め_(＄1000以上)_6"/>
      <sheetName val="H9_16"/>
      <sheetName val="Rent_Roll6"/>
      <sheetName val="32_ＹＢ構成5"/>
      <sheetName val="アンケート集計(12_3）3"/>
      <sheetName val="家電担当者_3"/>
      <sheetName val="42_ＹＢ構成3"/>
      <sheetName val="第２章_1_食料品消費支出22"/>
      <sheetName val="■13店別展開パターン表_(3)2"/>
      <sheetName val="選択項目一覧_2"/>
      <sheetName val="06_052"/>
      <sheetName val="06_05イン2"/>
      <sheetName val="06_05直営2"/>
      <sheetName val="現状鳥栖_(事業部予測)_2"/>
      <sheetName val="8_3～新商品2"/>
      <sheetName val="ＦＤ実績_2"/>
      <sheetName val="７月度_2"/>
      <sheetName val="経費FMT_管理科目2"/>
      <sheetName val="主要港_10"/>
      <sheetName val="販促実績_(2)"/>
      <sheetName val="Front_Cover_表紙（３SET）"/>
      <sheetName val="地域_CD"/>
      <sheetName val="区分表"/>
      <sheetName val="Front_Cover_表紙（３SET）1"/>
      <sheetName val="地域_CD1"/>
      <sheetName val="帳合表"/>
      <sheetName val="対象内容"/>
      <sheetName val="S070080"/>
      <sheetName val="ﾁﾗｼ枚数"/>
      <sheetName val="S060204"/>
      <sheetName val="返答"/>
      <sheetName val="印刷用"/>
      <sheetName val="ﾘｽﾄﾃﾞｰﾀ"/>
      <sheetName val="与信一覧_(2)11"/>
      <sheetName val="8510_(2)10"/>
      <sheetName val="2000LISTｔｒｕｅ_111710"/>
      <sheetName val="Sheet1_(2)10"/>
      <sheetName val="RD9508V_XLS10"/>
      <sheetName val="_Recovered_SheetName__1_8"/>
      <sheetName val="10_20-11_1210"/>
      <sheetName val="市場クレーム明細_10"/>
      <sheetName val="Plan_sbA10"/>
      <sheetName val="NST_(4)8"/>
      <sheetName val="大連製造ＶＡコストダウン金額纏め_(＄1000以上)_7"/>
      <sheetName val="H9_17"/>
      <sheetName val="Rent_Roll7"/>
      <sheetName val="32_ＹＢ構成6"/>
      <sheetName val="アンケート集計(12_3）4"/>
      <sheetName val="家電担当者_4"/>
      <sheetName val="42_ＹＢ構成4"/>
      <sheetName val="第２章_1_食料品消費支出23"/>
      <sheetName val="■13店別展開パターン表_(3)3"/>
      <sheetName val="選択項目一覧_3"/>
      <sheetName val="06_053"/>
      <sheetName val="06_05イン3"/>
      <sheetName val="06_05直営3"/>
      <sheetName val="現状鳥栖_(事業部予測)_3"/>
      <sheetName val="8_3～新商品3"/>
      <sheetName val="ＦＤ実績_3"/>
      <sheetName val="７月度_3"/>
      <sheetName val="経費FMT_管理科目3"/>
      <sheetName val="主要港_101"/>
      <sheetName val="販促実績_(2)1"/>
      <sheetName val="八__(2)"/>
      <sheetName val="青_(3)"/>
      <sheetName val="関東_(2)"/>
      <sheetName val="青_(2)"/>
      <sheetName val="八_"/>
      <sheetName val="二本松_(2)"/>
      <sheetName val="二本松_(3)"/>
      <sheetName val="二本松_(4)"/>
      <sheetName val="データ販路3層"/>
      <sheetName val="データ業種"/>
      <sheetName val="データ契約プラン"/>
      <sheetName val="データ販路2層"/>
      <sheetName val="データ営業担当（エリア）"/>
      <sheetName val="データ営業担当（MS）"/>
      <sheetName val="データ販路4層"/>
      <sheetName val="データプルダウン"/>
      <sheetName val="商品"/>
      <sheetName val="店在一覧"/>
      <sheetName val="商品形名表"/>
      <sheetName val="OLAP"/>
      <sheetName val="Effort by Menu Item"/>
      <sheetName val="給与マスタ区分"/>
      <sheetName val="ﾌﾟﾙﾀﾞｳﾝ"/>
      <sheetName val="ISF10+2"/>
      <sheetName val="実績管理表"/>
      <sheetName val="実績管理表(商品別)"/>
      <sheetName val="商品群別販売計画(前期)"/>
      <sheetName val="実績管理表(店別)"/>
      <sheetName val="商品群別販売計画(後期)"/>
      <sheetName val="⑤優先順位表"/>
      <sheetName val="課題⑨"/>
      <sheetName val="ﾄﾞﾛｯﾌﾟﾀﾞｳﾝ"/>
      <sheetName val="従業員設定"/>
      <sheetName val="作業設定"/>
      <sheetName val="与信一覧_(2)12"/>
      <sheetName val="8510_(2)11"/>
      <sheetName val="2000LISTｔｒｕｅ_111711"/>
      <sheetName val="Sheet1_(2)11"/>
      <sheetName val="RD9508V_XLS11"/>
      <sheetName val="市場クレーム明細_11"/>
      <sheetName val="_Recovered_SheetName__1_9"/>
      <sheetName val="10_20-11_1211"/>
      <sheetName val="NST_(4)9"/>
      <sheetName val="H9_18"/>
      <sheetName val="Plan_sbA11"/>
      <sheetName val="大連製造ＶＡコストダウン金額纏め_(＄1000以上)_8"/>
      <sheetName val="32_ＹＢ構成7"/>
      <sheetName val="Rent_Roll8"/>
      <sheetName val="家電担当者_5"/>
      <sheetName val="42_ＹＢ構成5"/>
      <sheetName val="アンケート集計(12_3）5"/>
      <sheetName val="第２章_1_食料品消費支出24"/>
      <sheetName val="■13店別展開パターン表_(3)4"/>
      <sheetName val="選択項目一覧_4"/>
      <sheetName val="経費FMT_管理科目4"/>
      <sheetName val="8_3～新商品4"/>
      <sheetName val="06_054"/>
      <sheetName val="06_05イン4"/>
      <sheetName val="06_05直営4"/>
      <sheetName val="現状鳥栖_(事業部予測)_4"/>
      <sheetName val="ＦＤ実績_4"/>
      <sheetName val="７月度_4"/>
      <sheetName val="Front_Cover_表紙（３SET）2"/>
      <sheetName val="神楽保育園_"/>
      <sheetName val="部品分類明細_(2)"/>
      <sheetName val="地域_CD2"/>
      <sheetName val="シミュレーションD1_"/>
      <sheetName val="主要港_102"/>
      <sheetName val="販促実績_(2)2"/>
      <sheetName val="2018_年間計画"/>
      <sheetName val="2019_予算2"/>
      <sheetName val="2018_高松店方針"/>
      <sheetName val="18年度販促計画_"/>
      <sheetName val="月別粗利計画_"/>
      <sheetName val="八__(2)1"/>
      <sheetName val="青_(3)1"/>
      <sheetName val="関東_(2)1"/>
      <sheetName val="青_(2)1"/>
      <sheetName val="八_1"/>
      <sheetName val="二本松_(2)1"/>
      <sheetName val="二本松_(3)1"/>
      <sheetName val="二本松_(4)1"/>
      <sheetName val="日別予算"/>
      <sheetName val="ｺｰﾄﾞ表"/>
      <sheetName val="登録"/>
      <sheetName val="SPLDAT"/>
      <sheetName val="コクミン"/>
      <sheetName val="拠点"/>
      <sheetName val="原材料ｱｲﾃﾑﾏｽﾀｰ"/>
      <sheetName val="仕入数"/>
      <sheetName val="製造数"/>
      <sheetName val="製造ｱｲﾃﾑﾏｽﾀｰ"/>
      <sheetName val="在庫数"/>
      <sheetName val="原料内訳"/>
      <sheetName val="Effort_by_Menu_Item"/>
      <sheetName val="既存光源概要"/>
      <sheetName val="既存器具情報"/>
      <sheetName val="【自動計算】ﾗﾝﾌﾟ元ﾃﾞｰﾀ"/>
      <sheetName val="エリア別既存"/>
      <sheetName val="依頼種別"/>
      <sheetName val="分類"/>
      <sheetName val="まとめ"/>
      <sheetName val="与信一覧_(2)13"/>
      <sheetName val="8510_(2)12"/>
      <sheetName val="2000LISTｔｒｕｅ_111712"/>
      <sheetName val="Sheet1_(2)12"/>
      <sheetName val="RD9508V_XLS12"/>
      <sheetName val="市場クレーム明細_12"/>
      <sheetName val="_Recovered_SheetName__1_10"/>
      <sheetName val="10_20-11_1212"/>
      <sheetName val="Plan_sbA12"/>
      <sheetName val="NST_(4)10"/>
      <sheetName val="大連製造ＶＡコストダウン金額纏め_(＄1000以上)_9"/>
      <sheetName val="H9_19"/>
      <sheetName val="Rent_Roll9"/>
      <sheetName val="32_ＹＢ構成8"/>
      <sheetName val="42_ＹＢ構成6"/>
      <sheetName val="家電担当者_6"/>
      <sheetName val="アンケート集計(12_3）6"/>
      <sheetName val="第２章_1_食料品消費支出25"/>
      <sheetName val="■13店別展開パターン表_(3)5"/>
      <sheetName val="06_055"/>
      <sheetName val="06_05イン5"/>
      <sheetName val="06_05直営5"/>
      <sheetName val="現状鳥栖_(事業部予測)_5"/>
      <sheetName val="選択項目一覧_5"/>
      <sheetName val="経費FMT_管理科目5"/>
      <sheetName val="8_3～新商品5"/>
      <sheetName val="ＦＤ実績_5"/>
      <sheetName val="７月度_5"/>
      <sheetName val="Front_Cover_表紙（３SET）3"/>
      <sheetName val="シミュレーションD1_3"/>
      <sheetName val="部品分類明細_(2)3"/>
      <sheetName val="神楽保育園_3"/>
      <sheetName val="主要港_103"/>
      <sheetName val="販促実績_(2)3"/>
      <sheetName val="地域_CD3"/>
      <sheetName val="八__(2)3"/>
      <sheetName val="青_(3)3"/>
      <sheetName val="関東_(2)3"/>
      <sheetName val="青_(2)3"/>
      <sheetName val="八_3"/>
      <sheetName val="二本松_(2)3"/>
      <sheetName val="二本松_(3)3"/>
      <sheetName val="二本松_(4)3"/>
      <sheetName val="2018_年間計画3"/>
      <sheetName val="2019_予算23"/>
      <sheetName val="2018_高松店方針3"/>
      <sheetName val="18年度販促計画_3"/>
      <sheetName val="月別粗利計画_3"/>
      <sheetName val="シミュレーションD1_1"/>
      <sheetName val="部品分類明細_(2)1"/>
      <sheetName val="神楽保育園_1"/>
      <sheetName val="2018_年間計画1"/>
      <sheetName val="2019_予算21"/>
      <sheetName val="2018_高松店方針1"/>
      <sheetName val="18年度販促計画_1"/>
      <sheetName val="月別粗利計画_1"/>
      <sheetName val="シミュレーションD1_2"/>
      <sheetName val="部品分類明細_(2)2"/>
      <sheetName val="神楽保育園_2"/>
      <sheetName val="八__(2)2"/>
      <sheetName val="青_(3)2"/>
      <sheetName val="関東_(2)2"/>
      <sheetName val="青_(2)2"/>
      <sheetName val="八_2"/>
      <sheetName val="二本松_(2)2"/>
      <sheetName val="二本松_(3)2"/>
      <sheetName val="二本松_(4)2"/>
      <sheetName val="2018_年間計画2"/>
      <sheetName val="2019_予算22"/>
      <sheetName val="2018_高松店方針2"/>
      <sheetName val="18年度販促計画_2"/>
      <sheetName val="月別粗利計画_2"/>
      <sheetName val="入力規則"/>
      <sheetName val="小口項目"/>
      <sheetName val="(削除禁止)日販ｸﾞﾗﾌ⑩"/>
      <sheetName val="調査シート"/>
      <sheetName val="与信一覧_(2)14"/>
      <sheetName val="8510_(2)13"/>
      <sheetName val="2000LISTｔｒｕｅ_111713"/>
      <sheetName val="Sheet1_(2)13"/>
      <sheetName val="RD9508V_XLS13"/>
      <sheetName val="市場クレーム明細_13"/>
      <sheetName val="_Recovered_SheetName__1_11"/>
      <sheetName val="10_20-11_1213"/>
      <sheetName val="Plan_sbA13"/>
      <sheetName val="NST_(4)11"/>
      <sheetName val="大連製造ＶＡコストダウン金額纏め_(＄1000以上)_10"/>
      <sheetName val="H9_110"/>
      <sheetName val="Rent_Roll10"/>
      <sheetName val="32_ＹＢ構成9"/>
      <sheetName val="42_ＹＢ構成7"/>
      <sheetName val="家電担当者_7"/>
      <sheetName val="アンケート集計(12_3）7"/>
      <sheetName val="第２章_1_食料品消費支出26"/>
      <sheetName val="■13店別展開パターン表_(3)6"/>
      <sheetName val="06_056"/>
      <sheetName val="06_05イン6"/>
      <sheetName val="06_05直営6"/>
      <sheetName val="現状鳥栖_(事業部予測)_6"/>
      <sheetName val="選択項目一覧_6"/>
      <sheetName val="経費FMT_管理科目6"/>
      <sheetName val="8_3～新商品6"/>
      <sheetName val="ＦＤ実績_6"/>
      <sheetName val="７月度_6"/>
      <sheetName val="Front_Cover_表紙（３SET）4"/>
      <sheetName val="シミュレーションD1_4"/>
      <sheetName val="部品分類明細_(2)4"/>
      <sheetName val="神楽保育園_4"/>
      <sheetName val="主要港_104"/>
      <sheetName val="販促実績_(2)4"/>
      <sheetName val="地域_CD4"/>
      <sheetName val="八__(2)4"/>
      <sheetName val="青_(3)4"/>
      <sheetName val="関東_(2)4"/>
      <sheetName val="青_(2)4"/>
      <sheetName val="八_4"/>
      <sheetName val="二本松_(2)4"/>
      <sheetName val="二本松_(3)4"/>
      <sheetName val="二本松_(4)4"/>
      <sheetName val="2018_年間計画4"/>
      <sheetName val="2019_予算24"/>
      <sheetName val="2018_高松店方針4"/>
      <sheetName val="18年度販促計画_4"/>
      <sheetName val="月別粗利計画_4"/>
      <sheetName val="■電器"/>
      <sheetName val="MIS"/>
      <sheetName val="ブランドリスト"/>
      <sheetName val="Effort_by_Menu_Item1"/>
      <sheetName val="摘要ﾘｽﾄ"/>
      <sheetName val="Ｇ月間達成表"/>
      <sheetName val="Ｐ月間達成表"/>
      <sheetName val="祝日一覧"/>
      <sheetName val="Sheet15"/>
      <sheetName val="Sheet18"/>
      <sheetName val="ダニー店別"/>
      <sheetName val="ワンプッシュ初動"/>
      <sheetName val="WK"/>
      <sheetName val="ﾊﾟｯｹｰｼﾞ"/>
      <sheetName val="損益計画(2022年)"/>
      <sheetName val="園芸一覧"/>
      <sheetName val="店舗割表"/>
      <sheetName val="データ貼り付け（0372176-84を貼り付け）"/>
      <sheetName val="\\nas028\c\Volumes\Data\進行中データ\"/>
      <sheetName val="\Volumes\Data\進行中データ\アイリス148\14"/>
      <sheetName val="回答電話番号リスト"/>
      <sheetName val="年間１"/>
      <sheetName val="年間１ (2)"/>
      <sheetName val="参）種別リスト"/>
      <sheetName val="3Q ｲﾝﾃ"/>
      <sheetName val="サブカテデータ売上累積"/>
      <sheetName val="tenso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/>
      <sheetData sheetId="644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 refreshError="1"/>
      <sheetData sheetId="719"/>
      <sheetData sheetId="720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 refreshError="1"/>
      <sheetData sheetId="934" refreshError="1"/>
      <sheetData sheetId="935" refreshError="1"/>
      <sheetData sheetId="936" refreshError="1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 refreshError="1"/>
      <sheetData sheetId="986" refreshError="1"/>
      <sheetData sheetId="987" refreshError="1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13年度発生売上予算"/>
      <sheetName val="H13"/>
      <sheetName val="H12"/>
      <sheetName val="H11"/>
      <sheetName val="H10"/>
      <sheetName val="H9"/>
      <sheetName val="A"/>
      <sheetName val="HQ"/>
      <sheetName val="GSV目標"/>
      <sheetName val="43"/>
      <sheetName val="HE(他）"/>
      <sheetName val="010"/>
      <sheetName val="RD9501V"/>
      <sheetName val="NEW95G2"/>
      <sheetName val="住所録"/>
      <sheetName val="稼働率グラフ（立体）"/>
      <sheetName val="更新版"/>
      <sheetName val="SBプラ鉢"/>
      <sheetName val="全合計"/>
      <sheetName val="SKU"/>
      <sheetName val="昨対"/>
      <sheetName val="RD9505A"/>
      <sheetName val="Ｃ’表"/>
      <sheetName val="事業部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価格表 (3)"/>
      <sheetName val="#REF"/>
      <sheetName val="RD9501V"/>
      <sheetName val="Plan sbA"/>
      <sheetName val="昨対"/>
      <sheetName val="HQ"/>
      <sheetName val="13年度発生売上予算"/>
      <sheetName val="ｱｸｾｽｸﾞﾗﾌ"/>
      <sheetName val="11wG部門ﾗﾝｷﾝｸﾞ"/>
      <sheetName val="GSV目標"/>
      <sheetName val="全合計"/>
      <sheetName val="Sheet1"/>
      <sheetName val="NEW95G2"/>
      <sheetName val="RD9505A"/>
      <sheetName val="Book2"/>
      <sheetName val="更新版"/>
      <sheetName val="A"/>
      <sheetName val="鳥栖"/>
      <sheetName val="Ｃ’’表"/>
      <sheetName val="竹四つ目垣"/>
      <sheetName val="表3"/>
      <sheetName val="図8"/>
      <sheetName val="Ｃ’表"/>
      <sheetName val="XS"/>
      <sheetName val="HE(他）"/>
      <sheetName val="FE0001"/>
      <sheetName val="ﾄﾞｯﾄｺﾑ"/>
      <sheetName val="SKU_31"/>
      <sheetName val="社外秘；HCﾋﾞｼﾞﾈｽﾁｬﾝｽ"/>
      <sheetName val="ﾘﾍﾞｰﾄﾗﾝｸ2000"/>
      <sheetName val="支給品一覧表"/>
      <sheetName val="棚割報告の注意点"/>
      <sheetName val="ｱﾐｸﾚｰﾑ"/>
      <sheetName val="提出用EXCEL"/>
      <sheetName val="5月"/>
      <sheetName val="改廃一覧社外秘"/>
      <sheetName val="Page 1-1"/>
      <sheetName val="点数"/>
      <sheetName val="４５週"/>
      <sheetName val="類似店舗検索"/>
      <sheetName val="飲料"/>
      <sheetName val="尺数調査表（カップ）"/>
      <sheetName val="回復済み_Sheet7"/>
      <sheetName val="回復済み_Sheet9"/>
      <sheetName val="回復済み_Sheet10"/>
      <sheetName val="#REF!"/>
      <sheetName val="MD週"/>
      <sheetName val="トッピング図"/>
      <sheetName val="トッピング図 (紙)"/>
      <sheetName val="絶対値"/>
      <sheetName val="G現在-年齢"/>
      <sheetName val="G10年後-年齢"/>
      <sheetName val="G現在-等級"/>
      <sheetName val="G10年後-等級"/>
      <sheetName val="G-平均年齢"/>
      <sheetName val="現在-年齢"/>
      <sheetName val="10年後-年齢"/>
      <sheetName val="現在&amp;10年後-等級"/>
      <sheetName val="現在"/>
      <sheetName val="10年後(H17)"/>
      <sheetName val="等級ｼｭﾐﾚ"/>
      <sheetName val="新試作品 "/>
      <sheetName val="新試作品  (2)"/>
      <sheetName val="新試作品  (3)"/>
      <sheetName val="新試作品  (4)"/>
      <sheetName val="37～43"/>
      <sheetName val="新試作品  (7)"/>
      <sheetName val="longR,S"/>
      <sheetName val="新試作品  (9)"/>
      <sheetName val="17580"/>
      <sheetName val="ラベンダー"/>
      <sheetName val="実機品SI12～ADA"/>
      <sheetName val="能力300製品"/>
      <sheetName val="実機品17、18、陶器"/>
      <sheetName val="実機品１，２，４"/>
      <sheetName val="Sheet2"/>
      <sheetName val="まとめ"/>
      <sheetName val="売価"/>
      <sheetName val="３１Ｗ"/>
      <sheetName val="Sheet3"/>
      <sheetName val="軽食"/>
      <sheetName val="SEIｶﾗｰ"/>
      <sheetName val="Sheet4 (2)"/>
      <sheetName val="パン"/>
      <sheetName val="100ｱﾝﾊﾟﾝ新"/>
      <sheetName val="生地4h"/>
      <sheetName val="包装２ ４h"/>
      <sheetName val="配合表"/>
      <sheetName val="小倉"/>
      <sheetName val="ﾃﾝﾀﾞｰｸﾚｰﾑ"/>
      <sheetName val="Q02_2_レシピエクセル出力印刷"/>
      <sheetName val="規格書"/>
      <sheetName val="Q_x0000__x0000__x0000__x0000__x0000__x0000__x0000__x0000__x0000__x0000__x0000__x0000__x0000__x0000__x0000__x0000_"/>
      <sheetName val="⑤弁当"/>
      <sheetName val="行楽ﾌｪｱ"/>
      <sheetName val="Q????????????????"/>
      <sheetName val="Q________________"/>
      <sheetName val="Q02_2_レシピエクセル出力配合"/>
      <sheetName val="Q02_2_商品規格書xls原料"/>
      <sheetName val="Q02_2_商品規格書xls包材"/>
      <sheetName val="人口移動第４表"/>
      <sheetName val="01週"/>
      <sheetName val="52週"/>
      <sheetName val="◆05商品別実績 (2)"/>
      <sheetName val="振"/>
      <sheetName val="田"/>
      <sheetName val="関り表"/>
      <sheetName val="◆05ﾗｲｾﾝｽ実績 (2)"/>
      <sheetName val="報9"/>
      <sheetName val="荷札"/>
      <sheetName val="チェックシート"/>
      <sheetName val="方針"/>
      <sheetName val="ﾊﾟ"/>
      <sheetName val="チ"/>
      <sheetName val="振 "/>
      <sheetName val="検定基準（ﾕｶﾀ）"/>
      <sheetName val="Sheet1 (2)"/>
      <sheetName val="店一覧"/>
      <sheetName val="ｽﾄﾘﾝｷﾞﾝｸﾞ"/>
      <sheetName val="研4"/>
      <sheetName val="検"/>
      <sheetName val="検定チェックシート"/>
      <sheetName val="トッピン₰図"/>
      <sheetName val="商品規格書"/>
      <sheetName val="分類"/>
      <sheetName val="かた焼そば"/>
      <sheetName val="ﾋﾟﾎﾞｯﾄ"/>
      <sheetName val="Report"/>
      <sheetName val="ｼﾞｬｰｼﾞｬｰ麺"/>
      <sheetName val="量販店テーブル１"/>
      <sheetName val="`00見込&amp;`01計画"/>
      <sheetName val="販売計画ドラフト"/>
      <sheetName val="Sheet4"/>
      <sheetName val="Graph3"/>
      <sheetName val="早"/>
      <sheetName val="帆立と海老"/>
      <sheetName val="マスタ"/>
      <sheetName val="◆"/>
      <sheetName val="ｲ"/>
      <sheetName val="ﾛ"/>
      <sheetName val="ﾊ"/>
      <sheetName val="ﾆ"/>
      <sheetName val="ﾎ"/>
      <sheetName val="ﾍ"/>
      <sheetName val="ﾄ"/>
      <sheetName val="ﾁ"/>
      <sheetName val="ﾘ"/>
      <sheetName val="ﾇ"/>
      <sheetName val="ﾙ"/>
      <sheetName val="お直しの基本"/>
      <sheetName val="パンツ①"/>
      <sheetName val="ﾊﾟﾝﾂ②"/>
      <sheetName val="伝票記入①"/>
      <sheetName val="伝票記入②"/>
      <sheetName val="お直し･採寸"/>
      <sheetName val="袖詰め"/>
      <sheetName val="袖直し"/>
      <sheetName val="ｽｶｰﾄのお直し①"/>
      <sheetName val="ｽｶｰﾄ② "/>
      <sheetName val="伝票記入"/>
      <sheetName val="本部研修テスト①"/>
      <sheetName val="本部研修テスト① (2)"/>
      <sheetName val="研修テスト②"/>
      <sheetName val="研修テスト① (3)"/>
      <sheetName val="改善報告"/>
      <sheetName val="深割ﾘｽﾄ"/>
      <sheetName val="残業ﾘｽﾄ"/>
      <sheetName val="残業"/>
      <sheetName val="表紙"/>
      <sheetName val="デイリー食品ランク表"/>
      <sheetName val="★本部研修概要"/>
      <sheetName val="研修（インテ)"/>
      <sheetName val="B06"/>
      <sheetName val="ライセンス別"/>
      <sheetName val="解答用紙"/>
      <sheetName val="解答用紙（ストリンギング）"/>
      <sheetName val="問題用紙"/>
      <sheetName val="お願い"/>
      <sheetName val="目的と流れ"/>
      <sheetName val="下期卒業研修計画"/>
      <sheetName val="予告案内"/>
      <sheetName val="衣料"/>
      <sheetName val="住居食品"/>
      <sheetName val="婦人ﾗﾝｸ4"/>
      <sheetName val="服飾ﾗﾝｸ4"/>
      <sheetName val="紳士ﾗﾝｸ4"/>
      <sheetName val="子供ﾗﾝｸ4"/>
      <sheetName val="肌着ﾗﾝｸ4"/>
      <sheetName val="寝装ﾗﾝｸ4"/>
      <sheetName val="家庭ﾗﾝｸ4"/>
      <sheetName val="ｺｽﾒﾗﾝｸ4"/>
      <sheetName val="文玩ﾗﾝｸ4"/>
      <sheetName val="ODﾗﾝｸ4"/>
      <sheetName val="加食ﾗﾝｸ4"/>
      <sheetName val="ﾃﾞｨﾘｰﾗﾝｸ4"/>
      <sheetName val="食ﾚｼﾞﾗﾝｸ4"/>
      <sheetName val="SCﾗﾝｸ4"/>
      <sheetName val="新ﾗﾝｸ表"/>
      <sheetName val="改訂原資"/>
      <sheetName val="地域本人給"/>
      <sheetName val="職務職能給"/>
      <sheetName val="資格手当"/>
      <sheetName val="職責手当"/>
      <sheetName val="ﾍﾞｱ案"/>
      <sheetName val="昇給内容"/>
      <sheetName val="評価額"/>
      <sheetName val="人員"/>
      <sheetName val="評価額原資"/>
      <sheetName val="規程改訂"/>
      <sheetName val="店・ｾﾝﾀｰ通達"/>
      <sheetName val="本部通達"/>
      <sheetName val="船橋 塔ヶ崎 (2)"/>
      <sheetName val="暦年週別日別売上"/>
      <sheetName val="09ｶﾚﾝﾀﾞｰ"/>
      <sheetName val="08夏期NA"/>
      <sheetName val="雇い止め申し渡し (2)"/>
      <sheetName val="通達  (10.27現在)"/>
      <sheetName val="応援リスト"/>
      <sheetName val="参加者（店別）"/>
      <sheetName val="ルーム店別参加リスト "/>
      <sheetName val="10.29仙台泉"/>
      <sheetName val="10.30仙台泉"/>
      <sheetName val="11.16松研"/>
      <sheetName val="11.17松研"/>
      <sheetName val="11.19大宮"/>
      <sheetName val="11.20大宮"/>
      <sheetName val="11.24武蔵境 "/>
      <sheetName val="11.27武蔵境 "/>
      <sheetName val="08C"/>
      <sheetName val="08B"/>
      <sheetName val="08A"/>
      <sheetName val="整"/>
      <sheetName val="通1"/>
      <sheetName val="Mgr一覧"/>
      <sheetName val="③整備士配置状況一覧（原本）"/>
      <sheetName val="恵庭 村田"/>
      <sheetName val="是正報告書"/>
      <sheetName val="216PH集計表"/>
      <sheetName val="216ＮＡＥ集計表"/>
      <sheetName val="E昭島 原島"/>
      <sheetName val="武小 大杉"/>
      <sheetName val="繊維の特徴（３)"/>
      <sheetName val="洗濯絵表示 (５)"/>
      <sheetName val="7月29日研修"/>
      <sheetName val="フォーム"/>
      <sheetName val="５３①"/>
      <sheetName val="５４②"/>
      <sheetName val="５５③"/>
      <sheetName val="部門異動者"/>
      <sheetName val="Sheet7"/>
      <sheetName val="Sheet5"/>
      <sheetName val="09年検証"/>
      <sheetName val="写真撮影報告書"/>
      <sheetName val="_x0000_-_x0003__x0000_"/>
      <sheetName val="POP-YMDMH-ARI040930-1"/>
      <sheetName val="品種別計画表〈予算）"/>
      <sheetName val="比較ヘッダー"/>
      <sheetName val="週別部門別実績 (2)"/>
      <sheetName val="情報ﾘｽﾄ"/>
      <sheetName val="媒体管理表"/>
      <sheetName val=""/>
      <sheetName val="実績・予測"/>
      <sheetName val="価格表_(3)"/>
      <sheetName val="Plan_sbA"/>
      <sheetName val="Page_1-1"/>
      <sheetName val="トッピング図_(紙)"/>
      <sheetName val="新試作品_"/>
      <sheetName val="新試作品__(2)"/>
      <sheetName val="新試作品__(3)"/>
      <sheetName val="新試作品__(4)"/>
      <sheetName val="新試作品__(7)"/>
      <sheetName val="新試作品__(9)"/>
      <sheetName val="Sheet4_(2)"/>
      <sheetName val="包装２_４h"/>
      <sheetName val="◆05商品別実績_(2)"/>
      <sheetName val="◆05ﾗｲｾﾝｽ実績_(2)"/>
      <sheetName val="振_"/>
      <sheetName val="Sheet1_(2)"/>
      <sheetName val="ｽｶｰﾄ②_"/>
      <sheetName val="本部研修テスト①_(2)"/>
      <sheetName val="研修テスト①_(3)"/>
      <sheetName val="船橋_塔ヶ崎_(2)"/>
      <sheetName val="雇い止め申し渡し_(2)"/>
      <sheetName val="通達__(10_27現在)"/>
      <sheetName val="ルーム店別参加リスト_"/>
      <sheetName val="10_29仙台泉"/>
      <sheetName val="10_30仙台泉"/>
      <sheetName val="11_16松研"/>
      <sheetName val="11_17松研"/>
      <sheetName val="11_19大宮"/>
      <sheetName val="11_20大宮"/>
      <sheetName val="11_24武蔵境_"/>
      <sheetName val="11_27武蔵境_"/>
      <sheetName val="恵庭_村田"/>
      <sheetName val="E昭島_原島"/>
      <sheetName val="武小_大杉"/>
      <sheetName val="洗濯絵表示_(５)"/>
      <sheetName val="-"/>
      <sheetName val="週別部門別実績_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 refreshError="1"/>
      <sheetData sheetId="106"/>
      <sheetData sheetId="107"/>
      <sheetData sheetId="108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 refreshError="1"/>
      <sheetData sheetId="172"/>
      <sheetData sheetId="173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1">
    <sheetNames>
      <sheetName val="収納インテリア"/>
      <sheetName val="110414_収納インテリア（付加なし）"/>
      <sheetName val="RD9501V"/>
      <sheetName val="#REF"/>
      <sheetName val="5月"/>
      <sheetName val="NEW95G2"/>
      <sheetName val="13年度発生売上予算"/>
      <sheetName val="43"/>
      <sheetName val="与信一覧 (2)"/>
      <sheetName val="住所録"/>
      <sheetName val="HQ"/>
      <sheetName val="全合計"/>
      <sheetName val="RD9505A"/>
      <sheetName val="昨対"/>
      <sheetName val="社外秘；HCﾋﾞｼﾞﾈｽﾁｬﾝｽ"/>
      <sheetName val="バックデータ"/>
      <sheetName val="Ｃ’表"/>
      <sheetName val="得意先実績(LEDｼｰﾘﾝｸﾞ)"/>
      <sheetName val="A"/>
      <sheetName val="ｱﾐｸﾚｰﾑ"/>
      <sheetName val="HE(他）"/>
      <sheetName val="GSV目標"/>
      <sheetName val="Ｃ’’表"/>
      <sheetName val="データ入力"/>
      <sheetName val="提出用EXCEL"/>
      <sheetName val="事業部"/>
      <sheetName val="更新版"/>
      <sheetName val="表3"/>
      <sheetName val="#REF!"/>
      <sheetName val="与信一覧_(2)"/>
      <sheetName val="リスト"/>
      <sheetName val="SBプラ鉢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</sheetDataSet>
  </externalBook>
</externalLink>
</file>

<file path=xl/externalLinks/externalLink24.xml><?xml version="1.0" encoding="utf-8"?>
<externalLink xmlns:r="http://schemas.openxmlformats.org/officeDocument/2006/relationships" xmlns="http://schemas.openxmlformats.org/spreadsheetml/2006/main">
  <externalBook r:id="rId1">
    <sheetNames>
      <sheetName val="編集用シート"/>
      <sheetName val="領収書"/>
      <sheetName val="住所録"/>
      <sheetName val="Sheet1"/>
      <sheetName val="宛名ラベル印刷"/>
      <sheetName val="自動実行ﾏｸﾛ"/>
      <sheetName val="#REF"/>
      <sheetName val="RD9501V"/>
      <sheetName val="NEW95G2"/>
      <sheetName val="GSV目標"/>
      <sheetName val="A"/>
      <sheetName val="13年度発生売上予算"/>
      <sheetName val="RD9505A"/>
      <sheetName val="更新版"/>
      <sheetName val="Ｃ’表"/>
      <sheetName val="与信一覧 (2)"/>
      <sheetName val="ﾌﾞﾗﾝﾄﾞﾃﾞｲｽｶｳﾝﾄ"/>
      <sheetName val="shere"/>
      <sheetName val="HQ"/>
      <sheetName val="全合計"/>
      <sheetName val="●キャンペーン・企画ヒアリング"/>
      <sheetName val="４週指示"/>
      <sheetName val="ｵｰﾀﾞｰ"/>
      <sheetName val="昨対"/>
      <sheetName val="HE(他）"/>
      <sheetName val="全国計"/>
      <sheetName val="宛名"/>
      <sheetName val="P1実績①"/>
      <sheetName val="個数単価推移２００１"/>
      <sheetName val="ｱｸｾｽｸﾞﾗﾌ"/>
      <sheetName val="提出用EXCEL"/>
      <sheetName val="外注トライ"/>
      <sheetName val="表3"/>
      <sheetName val="43"/>
      <sheetName val="与信一覧_(2)"/>
      <sheetName val="大容量ﾀｲﾌﾟ"/>
      <sheetName val="SBプラ鉢"/>
      <sheetName val="得意先実績(LEDｼｰﾘﾝｸﾞ)"/>
      <sheetName val="ｷﾞﾌﾄ"/>
      <sheetName val="ＧＭＳ"/>
      <sheetName val="OS"/>
      <sheetName val="竹四つ目垣"/>
      <sheetName val="5月"/>
      <sheetName val="11wG部門ﾗﾝｷﾝｸﾞ"/>
      <sheetName val="全件リスト"/>
      <sheetName val="Ｃ’’表"/>
      <sheetName val="Plan sbA"/>
      <sheetName val="第２章 1.食料品消費支出2"/>
      <sheetName val="ST障害管理表"/>
      <sheetName val="#REF!"/>
      <sheetName val="与信一覧_(2)1"/>
      <sheetName val="Plan_sbA"/>
      <sheetName val="第２章_1_食料品消費支出2"/>
      <sheetName val="事業部"/>
      <sheetName val="配荷目標"/>
      <sheetName val="社外秘；HCﾋﾞｼﾞﾈｽﾁｬﾝｽ"/>
      <sheetName val="編集用"/>
      <sheetName val="宛名ﾗﾍﾞﾙ印刷"/>
      <sheetName val="ｵｼﾗｾ"/>
      <sheetName val="相殺用"/>
      <sheetName val="好調不調"/>
      <sheetName val="相殺用おしらせ"/>
      <sheetName val="おしらせ"/>
      <sheetName val="与信一覧_(2)2"/>
      <sheetName val="Plan_sbA1"/>
      <sheetName val="第２章_1_食料品消費支出21"/>
      <sheetName val="ｱﾐｸﾚｰﾑ"/>
      <sheetName val="検査結果一覧(日本受入)"/>
      <sheetName val="Ｃ’’’’表"/>
      <sheetName val="業態"/>
      <sheetName val="ｼﾝﾌﾟﾙ領収書"/>
      <sheetName val="ｵｼﾗｾ改"/>
      <sheetName val="相殺用ｵｼﾗｾ改"/>
      <sheetName val="FAX"/>
      <sheetName val="修正"/>
      <sheetName val="Sheet2"/>
      <sheetName val="手書領収書2"/>
      <sheetName val="手書領収書2 (2)"/>
      <sheetName val="手書領収書3"/>
      <sheetName val="手書"/>
      <sheetName val="万田酵素モニター"/>
      <sheetName val="管理引当金"/>
      <sheetName val="011101"/>
      <sheetName val="DATA"/>
      <sheetName val="条件"/>
      <sheetName val="Ｃ'表"/>
      <sheetName val="C&amp;F"/>
      <sheetName val="国別"/>
      <sheetName val="6月&amp;12月 (2)"/>
      <sheetName val="SUMMARY"/>
      <sheetName val="Data input"/>
      <sheetName val="計算用"/>
      <sheetName val="Catalog"/>
      <sheetName val="Settings"/>
      <sheetName val="案分"/>
      <sheetName val="小計"/>
      <sheetName val="分類一覧"/>
      <sheetName val="与信一覧_(2)3"/>
      <sheetName val="Plan_sbA2"/>
      <sheetName val="第２章_1_食料品消費支出22"/>
      <sheetName val="手書領収書2_(2)"/>
      <sheetName val="商品カテゴリ"/>
      <sheetName val="与信一覧_(2)4"/>
      <sheetName val="Plan_sbA3"/>
      <sheetName val="第２章_1_食料品消費支出23"/>
      <sheetName val="手書領収書2_(2)1"/>
      <sheetName val="6月&amp;12月_(2)"/>
      <sheetName val="Data_input"/>
      <sheetName val="台帳"/>
      <sheetName val="Ｇ月間達成表"/>
      <sheetName val="Ｐ月間達成表"/>
      <sheetName val="居住者PFD"/>
      <sheetName val="与信一覧_(2)5"/>
      <sheetName val="Plan_sbA4"/>
      <sheetName val="第２章_1_食料品消費支出24"/>
      <sheetName val="手書領収書2_(2)2"/>
      <sheetName val="6月&amp;12月_(2)1"/>
      <sheetName val="Data_input1"/>
      <sheetName val="チームＣＤ"/>
      <sheetName val="ﾄﾞｯﾄｺﾑ"/>
      <sheetName val="提供用EXCEL"/>
      <sheetName val="営業"/>
      <sheetName val="与信一覧_(2)6"/>
      <sheetName val="Plan_sbA5"/>
      <sheetName val="第２章_1_食料品消費支出25"/>
      <sheetName val="手書領収書2_(2)3"/>
      <sheetName val="6月&amp;12月_(2)2"/>
      <sheetName val="Data_input2"/>
      <sheetName val="PS-1995"/>
    </sheetNames>
    <sheetDataSet>
      <sheetData sheetId="0">
        <row r="1">
          <cell r="A1" t="str">
            <v>ｺｰﾄﾞ</v>
          </cell>
        </row>
      </sheetData>
      <sheetData sheetId="1">
        <row r="1">
          <cell r="A1" t="str">
            <v>支払先コード</v>
          </cell>
        </row>
      </sheetData>
      <sheetData sheetId="2">
        <row r="1">
          <cell r="A1" t="str">
            <v>ｺｰﾄﾞ</v>
          </cell>
        </row>
      </sheetData>
      <sheetData sheetId="3">
        <row r="1">
          <cell r="A1" t="str">
            <v>支払先コード</v>
          </cell>
        </row>
      </sheetData>
      <sheetData sheetId="4">
        <row r="1">
          <cell r="A1" t="str">
            <v>支払先コード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 refreshError="1"/>
    </sheetDataSet>
  </externalBook>
</externalLink>
</file>

<file path=xl/externalLinks/externalLink25.xml><?xml version="1.0" encoding="utf-8"?>
<externalLink xmlns:r="http://schemas.openxmlformats.org/officeDocument/2006/relationships" xmlns="http://schemas.openxmlformats.org/spreadsheetml/2006/main">
  <externalBook r:id="rId1">
    <sheetNames>
      <sheetName val="Ｃ’表"/>
      <sheetName val="分析"/>
      <sheetName val="Ｃ_表"/>
      <sheetName val="Ｃ’’表"/>
      <sheetName val="RD9501V"/>
      <sheetName val="更新版"/>
      <sheetName val="①04シーツ"/>
      <sheetName val="NEW95G2"/>
      <sheetName val="RD9505A"/>
      <sheetName val="データ入力"/>
      <sheetName val="HQ"/>
      <sheetName val="GSV目標"/>
      <sheetName val="昨対"/>
      <sheetName val="社外秘；HCﾋﾞｼﾞﾈｽﾁｬﾝｽ"/>
      <sheetName val="#REF!"/>
      <sheetName val="HE(他）"/>
      <sheetName val="竹四つ目垣"/>
      <sheetName val="表3"/>
      <sheetName val="大人12"/>
      <sheetName val="住所録"/>
      <sheetName val="与信一覧 (2)"/>
      <sheetName val="SBプラ鉢"/>
      <sheetName val="13年度発生売上予算"/>
      <sheetName val="全合計"/>
      <sheetName val="CM予定表(～2012年3月）"/>
      <sheetName val="鳥栖"/>
      <sheetName val="#REF"/>
      <sheetName val="011101"/>
      <sheetName val="ｱﾐｸﾚｰﾑ"/>
      <sheetName val="ｱｸｾｽｸﾞﾗﾌ"/>
      <sheetName val="得意先実績(LEDｼｰﾘﾝｸﾞ)"/>
      <sheetName val="shere"/>
      <sheetName val="図8"/>
      <sheetName val="para"/>
      <sheetName val="万田酵素モニター"/>
      <sheetName val="事業部"/>
      <sheetName val="与信一覧_(2)"/>
      <sheetName val="園芸一覧"/>
      <sheetName val="提案書"/>
      <sheetName val="PAK6263"/>
      <sheetName val="提出用EXCEL"/>
      <sheetName val="入荷待ち"/>
      <sheetName val="比較ヘッダー"/>
      <sheetName val="与信一覧_(2)1"/>
      <sheetName val="クレジット決済"/>
      <sheetName val="BS推移"/>
      <sheetName val="Sheet4"/>
      <sheetName val="まとめ"/>
      <sheetName val="工事予算書"/>
      <sheetName val="×BS推移"/>
      <sheetName val="1"/>
      <sheetName val="Sheet2"/>
      <sheetName val="管理引当金"/>
      <sheetName val=""/>
      <sheetName val="品名ＭＳ"/>
      <sheetName val="区分値シート"/>
      <sheetName val="Ｃ'表"/>
      <sheetName val="plan sba"/>
      <sheetName val="青叶科目表"/>
      <sheetName val="EHP期間R状況 (1-11防虫) (2)"/>
      <sheetName val="品種別計画表〈予算）"/>
      <sheetName val="与信一覧_(2)2"/>
      <sheetName val="plan_sba"/>
      <sheetName val="データ"/>
      <sheetName val="EHP期間R状況_(1-11防虫)_(2)"/>
      <sheetName val="選択入力"/>
      <sheetName val="Sheet1"/>
      <sheetName val="A"/>
    </sheetNames>
    <sheetDataSet>
      <sheetData sheetId="0" refreshError="1"/>
      <sheetData sheetId="1">
        <row r="1">
          <cell r="A1" t="str">
            <v>主幹部門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/>
      <sheetData sheetId="65" refreshError="1"/>
      <sheetData sheetId="66" refreshError="1"/>
      <sheetData sheetId="67" refreshError="1"/>
    </sheetDataSet>
  </externalBook>
</externalLink>
</file>

<file path=xl/externalLinks/externalLink26.xml><?xml version="1.0" encoding="utf-8"?>
<externalLink xmlns:r="http://schemas.openxmlformats.org/officeDocument/2006/relationships" xmlns="http://schemas.openxmlformats.org/spreadsheetml/2006/main">
  <externalBook r:id="rId1">
    <sheetNames>
      <sheetName val="#REF"/>
      <sheetName val="#REF!"/>
      <sheetName val="ﾃﾞｰﾀ"/>
      <sheetName val="NEW95G2"/>
      <sheetName val="IS96S1"/>
      <sheetName val="Ｃ’表"/>
      <sheetName val="RD9501V"/>
      <sheetName val="管理引当金"/>
      <sheetName val="GSV目標"/>
      <sheetName val="表紙"/>
      <sheetName val="13年度発生売上予算"/>
      <sheetName val="全合計"/>
      <sheetName val="11wG部門ﾗﾝｷﾝｸﾞ"/>
      <sheetName val="2000LISTｔｒｕｅ 1117"/>
      <sheetName val="A"/>
      <sheetName val="SBプラ鉢"/>
      <sheetName val="HQ"/>
      <sheetName val="バックデータ"/>
      <sheetName val="昨対"/>
      <sheetName val="更新版"/>
      <sheetName val="HE(他）"/>
      <sheetName val="RD9505A"/>
      <sheetName val="43"/>
      <sheetName val="5月"/>
      <sheetName val="ｱｸｾｽｸﾞﾗﾌ"/>
      <sheetName val="表3"/>
      <sheetName val="SPアプレポ"/>
      <sheetName val="SP商品特徴"/>
      <sheetName val="KTB-23"/>
      <sheetName val="商品特徴"/>
      <sheetName val="転倒防止棒"/>
      <sheetName val="見積"/>
      <sheetName val="耐震バーAP"/>
      <sheetName val="新商品耐震バー"/>
      <sheetName val="６月方向性 "/>
      <sheetName val="６月店舗 "/>
      <sheetName val="チャレンジ"/>
      <sheetName val="○こだわりDIY"/>
      <sheetName val="○こだわりHK"/>
      <sheetName val="○こだわりEL"/>
      <sheetName val="ライン傾向と対策 "/>
      <sheetName val="利益貢献度（ＤＩＹ）"/>
      <sheetName val="利益貢献度（ＨＫ）"/>
      <sheetName val="利益貢献度（ＥＬ）"/>
      <sheetName val="上位クラス "/>
      <sheetName val="上位単品 "/>
      <sheetName val="★月報告format"/>
      <sheetName val="損益"/>
      <sheetName val="①-全社"/>
      <sheetName val="①-ｾﾞﾈﾗﾙ開発"/>
      <sheetName val="①-ｴﾝｼﾞﾆｱ開発"/>
      <sheetName val="★4月報告①"/>
      <sheetName val="★4月報告②"/>
      <sheetName val="【●非表示】開発合算"/>
      <sheetName val="【●非表示】ｾﾞ岸"/>
      <sheetName val="【●非表示】ｾﾞ小野寺"/>
      <sheetName val="【●非表示】ｾﾞ木谷"/>
      <sheetName val="【●非表示】ｾﾞ小栗"/>
      <sheetName val="【●非表示】ｾﾞﾈﾗﾙその他"/>
      <sheetName val="【●非表示】ｴ耕平"/>
      <sheetName val="【●非表示】ｴ高石"/>
      <sheetName val="【●非表示】ｴ原"/>
      <sheetName val="【●非表示】LED開発P"/>
      <sheetName val="【●非表示】ｴﾝｼﾞﾆｱその他"/>
      <sheetName val="【●非表示】ｸﾞﾛｰﾊﾞﾙ"/>
      <sheetName val="AP(ｴﾝｼﾞﾆｱ)①"/>
      <sheetName val="AP(ｴﾝｼﾞﾆｱ)②"/>
      <sheetName val="AP(ｾﾞﾈﾗﾙ)①"/>
      <sheetName val="AP(ｾﾞﾈﾗﾙ)②"/>
      <sheetName val="▲①-収納ｲﾝﾃ"/>
      <sheetName val="▲①-ﾍﾟｯﾄ"/>
      <sheetName val="▲①-園芸植物"/>
      <sheetName val="▲①-ﾎｰﾑ"/>
      <sheetName val="▲①-HO"/>
      <sheetName val="▲①-HE"/>
      <sheetName val="▲①-資材"/>
      <sheetName val="▲①-LED"/>
      <sheetName val="【●非表示】店舗什器事業部"/>
      <sheetName val="【●非表示】内装家具事業部"/>
      <sheetName val="【●非表示】ｼﾝﾌﾟﾙｽﾀｲﾙ事業部"/>
      <sheetName val="▲②-全社"/>
      <sheetName val="▲②-収納・ｲﾝﾃﾘｱ"/>
      <sheetName val="▲②-ﾍﾟｯﾄ"/>
      <sheetName val="▲②-園芸・植物"/>
      <sheetName val="▲②-ﾎｰﾑ"/>
      <sheetName val="▲②-HO"/>
      <sheetName val="▲②-HE"/>
      <sheetName val="▲②-資材"/>
      <sheetName val="▲②-LED"/>
      <sheetName val="PAK6263"/>
      <sheetName val="元 (2)"/>
      <sheetName val="６月方向性_"/>
      <sheetName val="６月店舗_"/>
      <sheetName val="ライン傾向と対策_"/>
      <sheetName val="上位クラス_"/>
      <sheetName val="上位単品_"/>
      <sheetName val="元_(2)"/>
      <sheetName val="⑤弁当"/>
      <sheetName val="商品"/>
      <sheetName val="１業種"/>
      <sheetName val="Control"/>
      <sheetName val="Sheet1"/>
      <sheetName val="Sheet2"/>
      <sheetName val="生人台帳"/>
      <sheetName val="情報ﾘｽﾄ"/>
      <sheetName val="与信一覧 (2)"/>
      <sheetName val="ﾊｰﾄﾞ①【全データ】"/>
      <sheetName val="LIST"/>
      <sheetName val="1"/>
      <sheetName val="竹四つ目垣"/>
      <sheetName val="IS96S1.XLS"/>
      <sheetName val="住所録"/>
      <sheetName val="ｻｰｷｭﾚｰﾀｰ"/>
      <sheetName val="ﾗﾐﾈｰﾀｰ"/>
      <sheetName val="シュレッダー"/>
      <sheetName val="高圧洗浄機"/>
      <sheetName val="スチームクリーナー"/>
      <sheetName val="扇風機"/>
      <sheetName val="宛名"/>
      <sheetName val="提供用EXCEL"/>
      <sheetName val="提案書"/>
      <sheetName val="Ｗｅｂｱﾝｹｰﾄ①"/>
      <sheetName val="Ｗｅｂｱﾝｹｰﾄ②"/>
      <sheetName val="data"/>
      <sheetName val="ﾊｰﾄﾞｵﾌｨｽ価格表"/>
      <sheetName val="将来に仕掛ける"/>
      <sheetName val="Aセット"/>
      <sheetName val="Bセット"/>
      <sheetName val="売り場"/>
      <sheetName val="ｽｹｼﾞｭｰﾙ表"/>
      <sheetName val="MS計画"/>
      <sheetName val="質問"/>
      <sheetName val="価格とセット販売"/>
      <sheetName val="値上下管理表値上用・原紙・手"/>
      <sheetName val="値上下管理表値下用・原紙・手"/>
      <sheetName val="値上用"/>
      <sheetName val="値下用"/>
      <sheetName val="Sheet3"/>
      <sheetName val="⑤優先順位表"/>
      <sheetName val="新Ｍ別"/>
      <sheetName val="ﾄﾞｯﾄｺﾑ"/>
      <sheetName val="Table_G"/>
      <sheetName val="H9.1"/>
      <sheetName val="数値 (婦人)"/>
      <sheetName val="H9_1"/>
      <sheetName val="数値_(婦人)"/>
      <sheetName val="商品ｺｰﾄﾞ一覧"/>
      <sheetName val="FeCr"/>
      <sheetName val="統計"/>
      <sheetName val="富田貼"/>
      <sheetName val="園芸一覧"/>
      <sheetName val="メニュー【数量】 第二事業部"/>
      <sheetName val="ラベル表"/>
      <sheetName val="para"/>
      <sheetName val="ｵｰﾀﾞｰ"/>
      <sheetName val="ｱﾐｸﾚｰﾑ"/>
      <sheetName val="Plan sbA"/>
      <sheetName val="IV&amp;PL"/>
      <sheetName val="実績・予測"/>
      <sheetName val="コルポックス"/>
      <sheetName val="D"/>
      <sheetName val="配送ﾊﾟﾀｰﾝ表"/>
      <sheetName val="人口移動第４表"/>
      <sheetName val="WE800200"/>
      <sheetName val="●キャンペーン・企画ヒアリング"/>
      <sheetName val="CM予定表(～2012年3月）"/>
      <sheetName val="ﾆﾚ机"/>
      <sheetName val="社外秘；HCﾋﾞｼﾞﾈｽﾁｬﾝｽ"/>
      <sheetName val="SKU_31"/>
      <sheetName val="入力"/>
      <sheetName val="仕様変更進捗（ＡＬＬ）"/>
      <sheetName val="検査結果一覧(日本受入)"/>
      <sheetName val="支給品一覧表"/>
      <sheetName val="shere"/>
      <sheetName val="Config"/>
      <sheetName val="00Sheet1"/>
      <sheetName val="全社按分比  "/>
      <sheetName val="Ｃ’’表"/>
      <sheetName val="ｸﾚｰﾑ報告書作成について"/>
      <sheetName val="第２章 1.食料品消費支出2"/>
      <sheetName val="harima"/>
      <sheetName val="sugi"/>
      <sheetName val="損盕"/>
      <sheetName val="NST (4)"/>
      <sheetName val="2000LISTｔｒｕｅ_1117"/>
      <sheetName val="全社按分比__"/>
      <sheetName val="６月方向性_1"/>
      <sheetName val="６月店舗_1"/>
      <sheetName val="ライン傾向と対策_1"/>
      <sheetName val="上位クラス_1"/>
      <sheetName val="上位単品_1"/>
      <sheetName val="元_(2)1"/>
      <sheetName val="与信一覧_(2)"/>
      <sheetName val="IS96S1_XLS"/>
      <sheetName val="H9_11"/>
      <sheetName val="数値_(婦人)1"/>
      <sheetName val="メニュー【数量】_第二事業部"/>
      <sheetName val="Plan_sbA"/>
      <sheetName val="第２章_1_食料品消費支出2"/>
      <sheetName val="対象製品"/>
      <sheetName val="2000LISTｔｒｕｅ_11171"/>
      <sheetName val="全社按分比__1"/>
      <sheetName val="６月方向性_2"/>
      <sheetName val="６月店舗_2"/>
      <sheetName val="ライン傾向と対策_2"/>
      <sheetName val="上位クラス_2"/>
      <sheetName val="上位単品_2"/>
      <sheetName val="元_(2)2"/>
      <sheetName val="与信一覧_(2)1"/>
      <sheetName val="IS96S1_XLS1"/>
      <sheetName val="H9_12"/>
      <sheetName val="数値_(婦人)2"/>
      <sheetName val="メニュー【数量】_第二事業部1"/>
      <sheetName val="Plan_sbA1"/>
      <sheetName val="第２章_1_食料品消費支出21"/>
      <sheetName val="011101"/>
      <sheetName val="明細書"/>
      <sheetName val="46WG部門ﾗﾝｷﾝｸﾞ"/>
      <sheetName val=""/>
      <sheetName val="ﾌﾟﾙﾀﾞｳﾝ選択項目"/>
      <sheetName val="Ｃ'表"/>
      <sheetName val="2000LISTｔｒｕｅ_11172"/>
      <sheetName val="６月方向性_3"/>
      <sheetName val="６月店舗_3"/>
      <sheetName val="ライン傾向と対策_3"/>
      <sheetName val="上位クラス_3"/>
      <sheetName val="上位単品_3"/>
      <sheetName val="元_(2)3"/>
      <sheetName val="与信一覧_(2)2"/>
      <sheetName val="IS96S1_XLS2"/>
      <sheetName val="H9_13"/>
      <sheetName val="数値_(婦人)3"/>
      <sheetName val="メニュー【数量】_第二事業部2"/>
      <sheetName val="Plan_sbA2"/>
      <sheetName val="全社按分比__2"/>
      <sheetName val="第２章_1_食料品消費支出22"/>
      <sheetName val="NST_(4)"/>
      <sheetName val="2000LISTｔｒｕｅ_11175"/>
      <sheetName val="６月方向性_6"/>
      <sheetName val="６月店舗_6"/>
      <sheetName val="ライン傾向と対策_6"/>
      <sheetName val="上位クラス_6"/>
      <sheetName val="上位単品_6"/>
      <sheetName val="元_(2)6"/>
      <sheetName val="与信一覧_(2)5"/>
      <sheetName val="IS96S1_XLS5"/>
      <sheetName val="H9_16"/>
      <sheetName val="数値_(婦人)6"/>
      <sheetName val="メニュー【数量】_第二事業部5"/>
      <sheetName val="Plan_sbA5"/>
      <sheetName val="全社按分比__5"/>
      <sheetName val="第２章_1_食料品消費支出25"/>
      <sheetName val="NST_(4)3"/>
      <sheetName val="2000LISTｔｒｕｅ_11173"/>
      <sheetName val="６月方向性_4"/>
      <sheetName val="６月店舗_4"/>
      <sheetName val="ライン傾向と対策_4"/>
      <sheetName val="上位クラス_4"/>
      <sheetName val="上位単品_4"/>
      <sheetName val="元_(2)4"/>
      <sheetName val="与信一覧_(2)3"/>
      <sheetName val="IS96S1_XLS3"/>
      <sheetName val="H9_14"/>
      <sheetName val="数値_(婦人)4"/>
      <sheetName val="メニュー【数量】_第二事業部3"/>
      <sheetName val="Plan_sbA3"/>
      <sheetName val="全社按分比__3"/>
      <sheetName val="第２章_1_食料品消費支出23"/>
      <sheetName val="NST_(4)1"/>
      <sheetName val="2000LISTｔｒｕｅ_11174"/>
      <sheetName val="６月方向性_5"/>
      <sheetName val="６月店舗_5"/>
      <sheetName val="ライン傾向と対策_5"/>
      <sheetName val="上位クラス_5"/>
      <sheetName val="上位単品_5"/>
      <sheetName val="元_(2)5"/>
      <sheetName val="与信一覧_(2)4"/>
      <sheetName val="IS96S1_XLS4"/>
      <sheetName val="H9_15"/>
      <sheetName val="数値_(婦人)5"/>
      <sheetName val="メニュー【数量】_第二事業部4"/>
      <sheetName val="Plan_sbA4"/>
      <sheetName val="全社按分比__4"/>
      <sheetName val="第２章_1_食料品消費支出24"/>
      <sheetName val="NST_(4)2"/>
      <sheetName val="Sheet219"/>
      <sheetName val="Sheet286"/>
      <sheetName val="業務内容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</sheetDataSet>
  </externalBook>
</externalLink>
</file>

<file path=xl/externalLinks/externalLink27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43"/>
      <sheetName val="RD9501V"/>
      <sheetName val="13年度発生売上予算"/>
      <sheetName val="HQ"/>
      <sheetName val="RD9505A"/>
      <sheetName val="電話分析9709"/>
      <sheetName val="NEW95G2"/>
      <sheetName val="更新版"/>
      <sheetName val="GSV目標"/>
      <sheetName val="#REF"/>
      <sheetName val="全合計"/>
      <sheetName val="住所録"/>
      <sheetName val="与信一覧 (2)"/>
      <sheetName val="5月"/>
      <sheetName val="昨対"/>
      <sheetName val="竹四つ目垣"/>
      <sheetName val="52wG部門ﾗﾝｷﾝｸﾞ"/>
      <sheetName val="Ｃ’表"/>
      <sheetName val="提供用EXCEL"/>
      <sheetName val="容量別シェア（年別）　"/>
      <sheetName val="ﾃﾞｰﾀ"/>
      <sheetName val="コメント"/>
      <sheetName val="社外秘；HCﾋﾞｼﾞﾈｽﾁｬﾝｽ"/>
      <sheetName val="#REF!"/>
      <sheetName val="計算"/>
      <sheetName val="DDL"/>
      <sheetName val="share"/>
      <sheetName val="管理引当"/>
      <sheetName val="ライン・月別　品目数表"/>
      <sheetName val="Sheet1"/>
      <sheetName val="花苗POP（上）"/>
      <sheetName val="野菜苗（上）加工"/>
      <sheetName val="2018年度展開実施店舗"/>
      <sheetName val="現状割付データ"/>
      <sheetName val="Plan sbA"/>
      <sheetName val="植物マスタ"/>
      <sheetName val="検査結果一覧(日本受入)"/>
      <sheetName val="shere"/>
      <sheetName val="改版履歴"/>
      <sheetName val="対象企画一覧"/>
      <sheetName val="与信一覧_(2)"/>
      <sheetName val="Plan_sbA"/>
      <sheetName val="まとめ"/>
      <sheetName val="販促物送付数"/>
      <sheetName val="販促物手配数"/>
      <sheetName val="list"/>
      <sheetName val="Ｃ’’表"/>
      <sheetName val="1"/>
      <sheetName val="HE(他）"/>
      <sheetName val="ｃ実績①"/>
      <sheetName val="Drop List"/>
      <sheetName val="個店"/>
    </sheetNames>
    <sheetDataSet>
      <sheetData sheetId="0" refreshError="1">
        <row r="10">
          <cell r="AB10" t="str">
            <v>ﾕｰｻﾞｰ</v>
          </cell>
          <cell r="AC10" t="str">
            <v>小売店</v>
          </cell>
          <cell r="AD10" t="str">
            <v>代理店</v>
          </cell>
          <cell r="AE10" t="str">
            <v>社内</v>
          </cell>
        </row>
        <row r="19">
          <cell r="AB19" t="str">
            <v>ＴＥ</v>
          </cell>
          <cell r="AC19" t="str">
            <v>ＲＥ</v>
          </cell>
          <cell r="AD19" t="str">
            <v>RAZO</v>
          </cell>
          <cell r="AE19" t="str">
            <v>ＲＶ</v>
          </cell>
          <cell r="AF19" t="str">
            <v>背面</v>
          </cell>
          <cell r="AG19" t="str">
            <v>INNO</v>
          </cell>
          <cell r="AH19" t="str">
            <v>ＢＡ</v>
          </cell>
          <cell r="AI19" t="str">
            <v>ＺＲ</v>
          </cell>
          <cell r="AJ19" t="str">
            <v>他</v>
          </cell>
        </row>
        <row r="37">
          <cell r="AB37" t="str">
            <v>適合</v>
          </cell>
          <cell r="AC37" t="str">
            <v>取付</v>
          </cell>
          <cell r="AD37" t="str">
            <v>修理</v>
          </cell>
          <cell r="AE37" t="str">
            <v>仕様</v>
          </cell>
          <cell r="AF37" t="str">
            <v>ﾊﾟｰﾂ</v>
          </cell>
          <cell r="AG37" t="str">
            <v>ｸﾚｰﾑ</v>
          </cell>
          <cell r="AH37" t="str">
            <v>他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</sheetDataSet>
  </externalBook>
</externalLink>
</file>

<file path=xl/externalLinks/externalLink28.xml><?xml version="1.0" encoding="utf-8"?>
<externalLink xmlns:r="http://schemas.openxmlformats.org/officeDocument/2006/relationships" xmlns="http://schemas.openxmlformats.org/spreadsheetml/2006/main">
  <externalBook r:id="rId1">
    <sheetNames>
      <sheetName val="実績"/>
      <sheetName val="小型シーリング一覧"/>
      <sheetName val="小型シーリング競合"/>
      <sheetName val="スケジュール"/>
      <sheetName val="事業部"/>
      <sheetName val="SCL７L　VA"/>
      <sheetName val="明るさ追加"/>
      <sheetName val="A"/>
      <sheetName val="RD9501V"/>
      <sheetName val="Ｃ’表"/>
      <sheetName val="竹四つ目垣"/>
      <sheetName val="更新版"/>
      <sheetName val="NEW95G2"/>
      <sheetName val="HQ"/>
      <sheetName val="Ｃ’’表"/>
      <sheetName val="Ｃ'表"/>
      <sheetName val="★【原価提案】小型シーリング201504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9.xml><?xml version="1.0" encoding="utf-8"?>
<externalLink xmlns:r="http://schemas.openxmlformats.org/officeDocument/2006/relationships" xmlns="http://schemas.openxmlformats.org/spreadsheetml/2006/main">
  <externalBook r:id="rId1">
    <sheetNames>
      <sheetName val="ﾑﾂｺﾞﾛｳ部門"/>
      <sheetName val="#REF!"/>
      <sheetName val="全合計"/>
      <sheetName val="ムツゴロウ三期グラフ"/>
      <sheetName val="RD9505A"/>
      <sheetName val="RD9501V"/>
      <sheetName val="A"/>
      <sheetName val="Ｃ’表"/>
      <sheetName val="NEW95G2"/>
      <sheetName val="13年度発生売上予算"/>
      <sheetName val="#REF"/>
      <sheetName val="更新版"/>
      <sheetName val="Sheet1"/>
      <sheetName val="事業部"/>
      <sheetName val="ｷﾞﾌﾄ"/>
      <sheetName val="Ｃ’’表"/>
      <sheetName val="●キャンペーン・企画ヒアリング"/>
      <sheetName val="与信一覧 (2)"/>
      <sheetName val="竹四つ目垣"/>
      <sheetName val="領収書"/>
      <sheetName val="住所録"/>
      <sheetName val="編集用シート"/>
      <sheetName val="00002"/>
      <sheetName val="shere"/>
      <sheetName val="昨対"/>
      <sheetName val="5月"/>
      <sheetName val="43"/>
      <sheetName val="好調不調"/>
      <sheetName val="HE(他）"/>
      <sheetName val="ﾄﾞｯﾄｺﾑ"/>
      <sheetName val="表3"/>
      <sheetName val="人口移動第４表"/>
      <sheetName val="家電担当者 "/>
      <sheetName val="SC入替"/>
      <sheetName val="ｱｸｾｽｸﾞﾗﾌ"/>
      <sheetName val="万田酵素モニター"/>
      <sheetName val="GSV目標"/>
      <sheetName val="Ｐ１５"/>
      <sheetName val="御見積書"/>
      <sheetName val="新ﾗｲﾝ(部品展開)"/>
      <sheetName val="ｲﾎﾞ竹販売数調整"/>
      <sheetName val="宛名"/>
      <sheetName val="HQ"/>
      <sheetName val="報告書"/>
      <sheetName val="園芸一覧"/>
      <sheetName val="全社按分比  "/>
      <sheetName val="0310"/>
      <sheetName val="Ｃ'表"/>
      <sheetName val="賞与･年収"/>
      <sheetName val="与信一覧_(2)"/>
      <sheetName val="家電担当者_"/>
      <sheetName val="全社按分比__"/>
      <sheetName val="Plan sb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 refreshError="1"/>
    </sheetDataSet>
  </externalBook>
</externalLink>
</file>

<file path=xl/externalLinks/externalLink30.xml><?xml version="1.0" encoding="utf-8"?>
<externalLink xmlns:r="http://schemas.openxmlformats.org/officeDocument/2006/relationships" xmlns="http://schemas.openxmlformats.org/spreadsheetml/2006/main">
  <externalBook r:id="rId1">
    <sheetNames>
      <sheetName val="直管実勢単価入力依頼"/>
      <sheetName val="RD9501V"/>
      <sheetName val="Ｃ’表"/>
    </sheetNames>
    <sheetDataSet>
      <sheetData sheetId="0"/>
      <sheetData sheetId="1" refreshError="1"/>
      <sheetData sheetId="2" refreshError="1"/>
    </sheetDataSet>
  </externalBook>
</externalLink>
</file>

<file path=xl/externalLinks/externalLink31.xml><?xml version="1.0" encoding="utf-8"?>
<externalLink xmlns:r="http://schemas.openxmlformats.org/officeDocument/2006/relationships" xmlns="http://schemas.openxmlformats.org/spreadsheetml/2006/main">
  <externalBook r:id="rId1">
    <sheetNames>
      <sheetName val="ｶｰｽｹW"/>
      <sheetName val="RD9501V"/>
      <sheetName val="RD9505A"/>
      <sheetName val="NEW95G2"/>
      <sheetName val="Ｃ’表"/>
      <sheetName val="GSV目標"/>
      <sheetName val="HQ"/>
      <sheetName val="住所録"/>
      <sheetName val="与信一覧 (2)"/>
      <sheetName val="HE(他）"/>
      <sheetName val="表3"/>
      <sheetName val="#REF"/>
      <sheetName val="全合計"/>
      <sheetName val="#REF!"/>
      <sheetName val="更新版"/>
      <sheetName val="A"/>
      <sheetName val="13年度発生売上予算"/>
      <sheetName val="Ｃ’_x0001_"/>
      <sheetName val="Ｃ’_x000d_"/>
      <sheetName val="昨対"/>
      <sheetName val="画像"/>
      <sheetName val="Ｃ’_x000a_"/>
      <sheetName val="ﾃﾞｰﾀ"/>
      <sheetName val="Ｃ’’表"/>
      <sheetName val="与信一覧_(2)"/>
      <sheetName val="Ｃ’"/>
      <sheetName val="第２章 1.食料品消費支出2"/>
      <sheetName val="Ｃ’_"/>
      <sheetName val="園芸一覧"/>
      <sheetName val="2000LISTｔｒｕｅ 1117"/>
      <sheetName val=""/>
      <sheetName val="Ｃ'表"/>
      <sheetName val="Ｃ’’’’表"/>
      <sheetName val="与信一覧_(2)1"/>
      <sheetName val="第２章_1_食料品消費支出2"/>
      <sheetName val="2000LISTｔｒｕｅ_1117"/>
      <sheetName val="SKU_31"/>
      <sheetName val="Ｃ’_x005f_x0001_"/>
      <sheetName val="Ｃ’_x005f_x000d_"/>
      <sheetName val="Ｃ’_x005f_x000a_"/>
      <sheetName val="지함시장"/>
      <sheetName val="事業部"/>
      <sheetName val="承認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2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 (2)"/>
      <sheetName val="Sheet1 (2)"/>
      <sheetName val="画面シート"/>
      <sheetName val="ﾑﾂｺﾞﾛｳ(仮)価格表"/>
      <sheetName val="Sheet2"/>
      <sheetName val="ﾃﾞｰﾀ"/>
      <sheetName val="#REF"/>
      <sheetName val="#REF!"/>
      <sheetName val="Sheet2_(2)"/>
      <sheetName val="Sheet1_(2)"/>
      <sheetName val=""/>
      <sheetName val="Sheet2_(2)1"/>
      <sheetName val="Sheet1_(2)1"/>
      <sheetName val="Sheet2_(2)2"/>
      <sheetName val="Sheet1_(2)2"/>
      <sheetName val="Sheet2_(2)3"/>
      <sheetName val="Sheet1_(2)3"/>
      <sheetName val="5月"/>
      <sheetName val="21ｗ"/>
      <sheetName val="北酒販"/>
      <sheetName val="Sheet2_(2)4"/>
      <sheetName val="Sheet1_(2)4"/>
      <sheetName val="人口移動第４表"/>
      <sheetName val="ダンジ"/>
      <sheetName val="ｱｸｾｽｸﾞﾗﾌ"/>
      <sheetName val="全合計"/>
      <sheetName val="13年度発生売上予算"/>
      <sheetName val="昨対"/>
      <sheetName val="与信一覧 (2)"/>
      <sheetName val="RD9501V"/>
      <sheetName val="NEW95G2"/>
      <sheetName val="宛名"/>
      <sheetName val="Ｃ’表"/>
      <sheetName val="A"/>
      <sheetName val="住所録"/>
      <sheetName val="一覧表"/>
      <sheetName val="提出用EXCEL"/>
      <sheetName val="shere"/>
      <sheetName val="更新版"/>
      <sheetName val="43"/>
      <sheetName val="大容量ﾀｲﾌﾟ"/>
      <sheetName val="Plan sbA"/>
      <sheetName val="管理引当金"/>
      <sheetName val="Sheet2_(2)5"/>
      <sheetName val="Sheet1_(2)5"/>
      <sheetName val="与信一覧_(2)"/>
      <sheetName val="RD9505A"/>
      <sheetName val="園芸一覧"/>
      <sheetName val="明細28w-31w"/>
      <sheetName val="Ｃ’’表"/>
      <sheetName val="SBプラ鉢"/>
      <sheetName val="竹四つ目垣"/>
      <sheetName val="表3"/>
      <sheetName val="SKU_31"/>
      <sheetName val="図8"/>
      <sheetName val="売上速報19973"/>
      <sheetName val="1"/>
      <sheetName val="P1実績①"/>
      <sheetName val="GSV目標"/>
      <sheetName val="累計出荷実績"/>
      <sheetName val="全社按分比  "/>
      <sheetName val="ﾄﾞｯﾄｺﾑ"/>
      <sheetName val="与信ｵｰﾊﾞｰ"/>
      <sheetName val="食品"/>
      <sheetName val="リスト"/>
      <sheetName val="Sheet2_(2)6"/>
      <sheetName val="Sheet1_(2)6"/>
      <sheetName val="与信一覧_(2)1"/>
      <sheetName val="Plan_sbA"/>
      <sheetName val="組立構成"/>
      <sheetName val="提案書"/>
      <sheetName val="8以上社員"/>
      <sheetName val="御見積書"/>
      <sheetName val="HQ"/>
      <sheetName val="好調不調"/>
      <sheetName val="全社按分比__"/>
      <sheetName val="ﾌﾟﾚｾﾞﾝ資"/>
      <sheetName val="ラックEXPO"/>
      <sheetName val="CM予定表(～2012年3月）"/>
      <sheetName val="賞与･年収"/>
      <sheetName val="11wG部門ﾗﾝｷﾝｸﾞ"/>
      <sheetName val="ﾁﾗｼ"/>
      <sheetName val="ﾁﾗｼ枚数"/>
      <sheetName val="売上ﾃﾞｰﾀ1"/>
      <sheetName val="個店"/>
      <sheetName val="印鑑捺印ﾏｸﾛ"/>
      <sheetName val="46WG部門ﾗﾝｷﾝｸﾞ"/>
      <sheetName val="ｸｰﾙｽｶｰﾌ"/>
      <sheetName val="HE(他）"/>
      <sheetName val="ﾌｫｰﾏｯﾄ"/>
      <sheetName val="外注トライ"/>
      <sheetName val="鳥栖"/>
      <sheetName val="提供用EXCEL"/>
      <sheetName val="仕切価格"/>
      <sheetName val="社外秘；HCﾋﾞｼﾞﾈｽﾁｬﾝｽ"/>
      <sheetName val="通常発注書"/>
      <sheetName val="比較ヘッダー"/>
      <sheetName val="SEIｶﾗｰ"/>
      <sheetName val="週別主力商品(婦人)"/>
      <sheetName val="Ｃ'表"/>
      <sheetName val="表紙"/>
      <sheetName val="容量別シェア（年別）　"/>
      <sheetName val="自然素材"/>
      <sheetName val="仕様変更進捗（ＡＬＬ）"/>
      <sheetName val="BAB"/>
      <sheetName val="営業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33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  <sheetName val="Sheet3"/>
      <sheetName val="更新版"/>
      <sheetName val="全合計"/>
      <sheetName val="GSV目標"/>
      <sheetName val="Ｃ’表"/>
      <sheetName val="与信一覧 (2)"/>
      <sheetName val="#REF"/>
      <sheetName val="11wG部門ﾗﾝｷﾝｸﾞ"/>
      <sheetName val="表示項目_基本商品分析"/>
      <sheetName val="NEW95G2"/>
      <sheetName val="HQ"/>
      <sheetName val="１業種"/>
      <sheetName val="竹四つ目垣"/>
      <sheetName val="13年度発生売上予算"/>
      <sheetName val="RD9501V"/>
      <sheetName val="好調不調"/>
      <sheetName val="データ入力"/>
      <sheetName val="事業部"/>
      <sheetName val="投資額"/>
      <sheetName val="A"/>
      <sheetName val="HE(他）"/>
      <sheetName val="対象製品"/>
      <sheetName val="週別主力商品(婦人)"/>
      <sheetName val="２００２年９月３０日現在買掛金残高_1016_02"/>
      <sheetName val="8以上社員"/>
      <sheetName val="リスト"/>
      <sheetName val="与信一覧_(2)"/>
      <sheetName val="P1実績①"/>
      <sheetName val="Ｃ’’表"/>
    </sheetNames>
    <sheetDataSet>
      <sheetData sheetId="0">
        <row r="4">
          <cell r="C4" t="str">
            <v>昨年売上高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34.xml><?xml version="1.0" encoding="utf-8"?>
<externalLink xmlns:r="http://schemas.openxmlformats.org/officeDocument/2006/relationships" xmlns="http://schemas.openxmlformats.org/spreadsheetml/2006/main">
  <externalBook r:id="rId1">
    <sheetNames>
      <sheetName val="RD9501V"/>
      <sheetName val="Sheet1"/>
      <sheetName val="ENGEI"/>
      <sheetName val="ぺっと"/>
      <sheetName val="収納"/>
      <sheetName val="工具"/>
      <sheetName val="カー用品"/>
      <sheetName val="日用品"/>
      <sheetName val="全社"/>
      <sheetName val="RD9505O"/>
      <sheetName val="RD9505A"/>
      <sheetName val="ﾃﾞｰﾀ"/>
      <sheetName val="提案書"/>
      <sheetName val="Ｗｅｂｱﾝｹｰﾄ①"/>
      <sheetName val="Ｗｅｂｱﾝｹｰﾄ②"/>
      <sheetName val="data"/>
      <sheetName val="ﾊｰﾄﾞｵﾌｨｽ価格表"/>
      <sheetName val="一覧表"/>
      <sheetName val="CPU"/>
      <sheetName val="12月"/>
      <sheetName val="043"/>
      <sheetName val="046"/>
      <sheetName val="055"/>
      <sheetName val="ﾃﾞｰﾀｲﾝﾌﾟｯﾄ欄"/>
      <sheetName val="dptFMT"/>
      <sheetName val="事FMT"/>
      <sheetName val="調FMT"/>
      <sheetName val="ｶﾃ"/>
      <sheetName val="RD9508V"/>
      <sheetName val="Control"/>
      <sheetName val="5月"/>
      <sheetName val="[RD9"/>
      <sheetName val="_RD9"/>
      <sheetName val="#REF"/>
      <sheetName val="改廃一覧社外秘"/>
      <sheetName val="端末設置状況"/>
      <sheetName val="手順①追加修正連絡票"/>
      <sheetName val="涼味"/>
      <sheetName val="トレンド表"/>
      <sheetName val="shere"/>
      <sheetName val="NEW95G2"/>
      <sheetName val="8以上社員"/>
      <sheetName val="規格書"/>
      <sheetName val="人口移動第４表"/>
      <sheetName val="13_hashihara01"/>
      <sheetName val="29_hashihara13"/>
      <sheetName val="与信一覧 (2)"/>
      <sheetName val="更新版"/>
      <sheetName val="全合計"/>
      <sheetName val="住所録"/>
      <sheetName val="GSV目標"/>
      <sheetName val="大人12"/>
      <sheetName val="Ｃ’表"/>
      <sheetName val="A"/>
      <sheetName val="HQ"/>
      <sheetName val="入力フォーム"/>
      <sheetName val="para"/>
      <sheetName val="13年度発生売上予算"/>
      <sheetName val="竹四つ目垣"/>
      <sheetName val="昨対"/>
      <sheetName val="１業種"/>
      <sheetName val="１"/>
      <sheetName val="宛名"/>
      <sheetName val="ExChange"/>
      <sheetName val="配荷"/>
      <sheetName val="新ﾗｲﾝ(部品展開)"/>
      <sheetName val="ｲﾎﾞ竹販売数調整"/>
      <sheetName val="管理引当金"/>
      <sheetName val="43"/>
      <sheetName val="表3"/>
      <sheetName val="ｵｰﾀﾞｰ"/>
      <sheetName val="1"/>
      <sheetName val="P1実績①"/>
      <sheetName val="西川繊維２０９ニトリ在庫報告"/>
      <sheetName val="おでん"/>
      <sheetName val="国勢DATA1"/>
      <sheetName val="国勢DATA2"/>
      <sheetName val="国勢DATA3"/>
      <sheetName val="国勢DATA県"/>
      <sheetName val="消費DATA1"/>
      <sheetName val="消費DATA2"/>
      <sheetName val="消費DATA3"/>
      <sheetName val="消費DATA県"/>
      <sheetName val="入力リスト"/>
      <sheetName val="図8"/>
      <sheetName val="ﾄﾞｯﾄｺﾑ"/>
      <sheetName val="行楽ﾌｪｱ"/>
      <sheetName val="表紙"/>
      <sheetName val="仕訳①"/>
      <sheetName val="媒体管理表"/>
      <sheetName val="shtBuff"/>
      <sheetName val="copy1"/>
      <sheetName val="好調不調"/>
      <sheetName val="大型店版"/>
      <sheetName val="収納・インテ"/>
      <sheetName val="#REF!"/>
      <sheetName val="ｱｸｾｽｸﾞﾗﾌ"/>
      <sheetName val="HE(他）"/>
      <sheetName val="仕入先"/>
      <sheetName val="対象製品"/>
      <sheetName val="8510 (2)"/>
      <sheetName val="0310"/>
      <sheetName val="CM予定表(～2012年3月）"/>
      <sheetName val="25DJ40"/>
      <sheetName val="社外秘；HCﾋﾞｼﾞﾈｽﾁｬﾝｽ"/>
      <sheetName val="11wG部門ﾗﾝｷﾝｸﾞ"/>
      <sheetName val="販売目標"/>
      <sheetName val="バックデータ"/>
      <sheetName val="SBプラ鉢"/>
      <sheetName val="2000LISTｔｒｕｅ 1117"/>
      <sheetName val="SKU_31"/>
      <sheetName val="実績・予測"/>
      <sheetName val="北空貼"/>
      <sheetName val="累計出荷実績"/>
      <sheetName val="Sheet1 (2)"/>
      <sheetName val="記入ﾌｫｰﾑ"/>
      <sheetName val="PAK6263"/>
      <sheetName val="４週指示"/>
      <sheetName val="営業所８"/>
      <sheetName val="RD9508V.XLS"/>
      <sheetName val="Sheet3"/>
      <sheetName val="元データー"/>
      <sheetName val="領収書"/>
      <sheetName val="編集用シート"/>
      <sheetName val="目次"/>
      <sheetName val="POP&amp;什器"/>
      <sheetName val="マスター"/>
      <sheetName val="ｼｰﾄ1"/>
      <sheetName val="提出用EXCEL"/>
      <sheetName val="通常発注書"/>
      <sheetName val="全体定番確定表"/>
      <sheetName val="10.20-11.12"/>
      <sheetName val="生人台帳"/>
      <sheetName val="包材リスト"/>
      <sheetName val="初回納品"/>
      <sheetName val="単価は最低納価使用"/>
      <sheetName val="検査結果一覧"/>
      <sheetName val="日本チーム計算根拠"/>
      <sheetName val="市場クレーム明細 "/>
      <sheetName val="与信一覧_(2)"/>
      <sheetName val="Ｃ’’表"/>
      <sheetName val="Ｃ’’’’表"/>
      <sheetName val="ROI"/>
      <sheetName val="Plan sbA"/>
      <sheetName val="5-6月キャンペーン"/>
      <sheetName val="管理引当"/>
      <sheetName val="_Recovered_SheetName_ 1_"/>
      <sheetName val="NST (4)"/>
      <sheetName val="12年■SAS計画（全店舗）■"/>
      <sheetName val="０５３合計"/>
      <sheetName val="POP申請フォーマット（ここに入力してください）"/>
      <sheetName val="　月次報告（数値データ）　"/>
      <sheetName val="与信一覧_(2)1"/>
      <sheetName val="8510_(2)"/>
      <sheetName val="2000LISTｔｒｕｅ_1117"/>
      <sheetName val="Sheet1_(2)"/>
      <sheetName val="RD9508V_XLS"/>
      <sheetName val="10_20-11_12"/>
      <sheetName val="Plan_sbA"/>
      <sheetName val="市場クレーム明細_"/>
      <sheetName val="提供用EXCEL"/>
      <sheetName val="与信一覧_(2)2"/>
      <sheetName val="8510_(2)1"/>
      <sheetName val="2000LISTｔｒｕｅ_11171"/>
      <sheetName val="Sheet1_(2)1"/>
      <sheetName val="RD9508V_XLS1"/>
      <sheetName val="10_20-11_121"/>
      <sheetName val="Plan_sbA1"/>
      <sheetName val="市場クレーム明細_1"/>
      <sheetName val="大連製造ＶＡコストダウン金額纏め (＄1000以上)."/>
      <sheetName val="033"/>
      <sheetName val="不点灯交換の情報記載"/>
      <sheetName val="与信一覧_(2)3"/>
      <sheetName val="8510_(2)2"/>
      <sheetName val="2000LISTｔｒｕｅ_11172"/>
      <sheetName val="Sheet1_(2)2"/>
      <sheetName val="RD9508V_XLS2"/>
      <sheetName val="10_20-11_122"/>
      <sheetName val="Plan_sbA2"/>
      <sheetName val="市場クレーム明細_2"/>
      <sheetName val="２月店舗経費実績"/>
      <sheetName val="１．社内ﾈｯﾄﾜｰｸﾊｰﾄﾞｳｪｱ"/>
      <sheetName val="Ｃ実績①"/>
      <sheetName val="店舗マスタ"/>
      <sheetName val="ケチャップ有り"/>
      <sheetName val="_REF"/>
      <sheetName val="健康ﾌｪｱ外注(ﾌﾞﾛｯｸ)"/>
      <sheetName val="仕様変更進捗（ＡＬＬ）"/>
      <sheetName val="ｷﾞﾌﾄ・ﾃﾅﾝﾄ除く"/>
      <sheetName val="基本量販店動向"/>
      <sheetName val="点数"/>
      <sheetName val="データ入力"/>
      <sheetName val="SEIｶﾗｰ"/>
      <sheetName val="売上(衣)"/>
      <sheetName val="原料ﾚｼﾋﾟ"/>
      <sheetName val="商品ﾏｽﾀｰ"/>
      <sheetName val="POP-YMDMH-ARI040930-1"/>
      <sheetName val="②仙台"/>
      <sheetName val="①器具製作実績グラフ"/>
      <sheetName val="与信管理帳合"/>
      <sheetName val="粗利率順Wﾁｪｯｸ表"/>
      <sheetName val="板資材(M)"/>
      <sheetName val="入力"/>
      <sheetName val="①品名・梱包入力"/>
      <sheetName val="店別"/>
      <sheetName val="H9.1"/>
      <sheetName val="_Recovered_SheetName__1_"/>
      <sheetName val="日8L_B"/>
      <sheetName val="検査結果一覧(日本受入)"/>
      <sheetName val="先行管理記入例"/>
      <sheetName val="全件リスト"/>
      <sheetName val="②東京"/>
      <sheetName val="②大阪"/>
      <sheetName val="地域B"/>
      <sheetName val="G5"/>
      <sheetName val="ﾌﾟﾚｾﾞﾝ資"/>
      <sheetName val="じんこうTOPICS"/>
      <sheetName val="D3"/>
      <sheetName val="graph"/>
      <sheetName val="SKU"/>
      <sheetName val="明細"/>
      <sheetName val="47下管理"/>
      <sheetName val="大容量ﾀｲﾌﾟ"/>
      <sheetName val="支給品一覧表"/>
      <sheetName val="直送ｺﾝﾃﾅ管理表"/>
      <sheetName val="価格表"/>
      <sheetName val="経費"/>
      <sheetName val="ダンジ"/>
      <sheetName val="品種別数量"/>
      <sheetName val="本体バック"/>
      <sheetName val="SINAZ4月"/>
      <sheetName val="0606販売予測"/>
      <sheetName val="NST_(4)"/>
      <sheetName val="営業実績"/>
      <sheetName val="万田酵素モニター"/>
      <sheetName val="営業所一覧"/>
      <sheetName val="部材表"/>
      <sheetName val="品目リスト"/>
      <sheetName val="LIST"/>
      <sheetName val="リスト"/>
      <sheetName val="証拠"/>
      <sheetName val="⑤弁当"/>
      <sheetName val="基本cvs動向"/>
      <sheetName val="商品一覧"/>
      <sheetName val="入金実96"/>
      <sheetName val="元データ"/>
      <sheetName val="鳥栖"/>
      <sheetName val="USA_3期グラフ"/>
      <sheetName val="【大連】部門損益"/>
      <sheetName val="11年度発生売上予算提出書類"/>
      <sheetName val="2401"/>
      <sheetName val="Macro1"/>
      <sheetName val="廃番ﾃﾞｯﾄﾞ"/>
      <sheetName val="与信一覧_(2)4"/>
      <sheetName val="8510_(2)3"/>
      <sheetName val="2000LISTｔｒｕｅ_11173"/>
      <sheetName val="Sheet1_(2)3"/>
      <sheetName val="RD9508V_XLS3"/>
      <sheetName val="10_20-11_123"/>
      <sheetName val="市場クレーム明細_3"/>
      <sheetName val="_Recovered_SheetName__1_1"/>
      <sheetName val="NST_(4)1"/>
      <sheetName val="Plan_sbA3"/>
      <sheetName val="大連製造ＶＡコストダウン金額纏め_(＄1000以上)_"/>
      <sheetName val="H9_1"/>
      <sheetName val="Ｃ'表"/>
      <sheetName val="Rent Roll"/>
      <sheetName val="定数"/>
      <sheetName val="マスタ"/>
      <sheetName val="Sheet2"/>
      <sheetName val="クレジット決済"/>
      <sheetName val="外注トライ"/>
      <sheetName val="32.ＹＢ構成"/>
      <sheetName val="0901"/>
      <sheetName val="0902"/>
      <sheetName val="0903"/>
      <sheetName val="0904"/>
      <sheetName val="0905"/>
      <sheetName val="0906"/>
      <sheetName val="0907"/>
      <sheetName val="0908"/>
      <sheetName val="0909"/>
      <sheetName val="0910"/>
      <sheetName val="0911"/>
      <sheetName val="0912"/>
      <sheetName val="対象者リスト"/>
      <sheetName val="受取配当金"/>
      <sheetName val="資材ＳＩＭ"/>
      <sheetName val="コード(腕時計)"/>
      <sheetName val="POP製作Ｂ"/>
      <sheetName val="PＯＰ制作Ａ新"/>
      <sheetName val="区分"/>
      <sheetName val="台湾～ｵﾏｰﾝ"/>
      <sheetName val="損益計画"/>
      <sheetName val="Rent_Roll"/>
      <sheetName val="形材部品マスター"/>
      <sheetName val="企画書"/>
      <sheetName val="52wG部門ﾗﾝｷﾝｸﾞ"/>
      <sheetName val="メニュー"/>
      <sheetName val="設定"/>
      <sheetName val="フリーダイヤル"/>
      <sheetName val="機種"/>
      <sheetName val="発信元課金"/>
      <sheetName val="帳票"/>
      <sheetName val="Sheet5"/>
      <sheetName val="Sheet6"/>
      <sheetName val="Sheet7"/>
      <sheetName val="Sheet8"/>
      <sheetName val="Sheet9"/>
      <sheetName val="ST障害管理表"/>
      <sheetName val="●キャンペーン・企画ヒアリング"/>
      <sheetName val="昨比データ"/>
      <sheetName val="Wﾁｪｯｸ表"/>
      <sheetName val="メンテナンス受付台帳"/>
      <sheetName val="個数単価推移２００１"/>
      <sheetName val="tbl"/>
      <sheetName val="カーサイクル"/>
      <sheetName val="3_hashihara48"/>
      <sheetName val="与信一覧_(2)5"/>
      <sheetName val="8510_(2)4"/>
      <sheetName val="2000LISTｔｒｕｅ_11174"/>
      <sheetName val="Sheet1_(2)4"/>
      <sheetName val="RD9508V_XLS4"/>
      <sheetName val="10_20-11_124"/>
      <sheetName val="大連製造ＶＡコストダウン金額纏め_(＄1000以上)_1"/>
      <sheetName val="Plan_sbA4"/>
      <sheetName val="市場クレーム明細_4"/>
      <sheetName val="_Recovered_SheetName__1_2"/>
      <sheetName val="NST_(4)2"/>
      <sheetName val="H9_11"/>
      <sheetName val="Rent_Roll1"/>
      <sheetName val="32_ＹＢ構成"/>
      <sheetName val="⑧-2ﾊﾟﾀｰﾝ別店舗一覧"/>
      <sheetName val="share"/>
      <sheetName val="売上速報19973"/>
      <sheetName val="全国"/>
      <sheetName val="ﾘｽﾄ"/>
      <sheetName val="エンド"/>
      <sheetName val="ラックEXPO"/>
      <sheetName val="クロス昨年"/>
      <sheetName val="クロス売上"/>
      <sheetName val="入力用"/>
      <sheetName val="ｼﾞｬｽｺ商報"/>
      <sheetName val="集計①"/>
      <sheetName val="与信ｵｰﾊﾞｰ"/>
      <sheetName val="入力シート"/>
      <sheetName val="報告依頼部署"/>
      <sheetName val="万代比数"/>
      <sheetName val="ﾌﾞﾗｼ梶"/>
      <sheetName val="アンケート集計(12.3）"/>
      <sheetName val="HA実販"/>
      <sheetName val="部門別計画表"/>
      <sheetName val="30IY"/>
      <sheetName val="VIVA"/>
      <sheetName val="30VIVA"/>
      <sheetName val="ドイト"/>
      <sheetName val="30ドイト"/>
      <sheetName val="島忠"/>
      <sheetName val="30島忠"/>
      <sheetName val="貼付用"/>
      <sheetName val="家電担当者 "/>
      <sheetName val="Tp040611-2%"/>
      <sheetName val="集計シート(合算)"/>
      <sheetName val="ﾁｭｰﾘｯﾌﾟ"/>
      <sheetName val="ﾕﾘ"/>
      <sheetName val="ｽｲｾﾝ_ﾋﾔｼﾝｽ_ｸﾛｯｶｽ"/>
      <sheetName val="全件ﾘｽﾄ"/>
      <sheetName val="店舗情報"/>
      <sheetName val="42.ＹＢ構成"/>
      <sheetName val="月末"/>
      <sheetName val=""/>
      <sheetName val="taalcode"/>
      <sheetName val="Product"/>
      <sheetName val="全体AP資料10月(ＨＥ)"/>
      <sheetName val="与信一覧_(2)6"/>
      <sheetName val="8510_(2)5"/>
      <sheetName val="2000LISTｔｒｕｅ_11175"/>
      <sheetName val="Sheet1_(2)5"/>
      <sheetName val="RD9508V_XLS5"/>
      <sheetName val="10_20-11_125"/>
      <sheetName val="市場クレーム明細_5"/>
      <sheetName val="Plan_sbA5"/>
      <sheetName val="大連製造ＶＡコストダウン金額纏め_(＄1000以上)_2"/>
      <sheetName val="_Recovered_SheetName__1_3"/>
      <sheetName val="NST_(4)3"/>
      <sheetName val="H9_12"/>
      <sheetName val="Rent_Roll2"/>
      <sheetName val="32_ＹＢ構成1"/>
      <sheetName val="店舗（合算）"/>
      <sheetName val="集計シート(IY)"/>
      <sheetName val="net_qty"/>
      <sheetName val="見積書"/>
      <sheetName val="作業"/>
      <sheetName val="０５"/>
      <sheetName val="新商品比率ｸﾞﾗﾌ"/>
      <sheetName val="検質報告書"/>
      <sheetName val="コンテナ事故報告"/>
      <sheetName val="業態"/>
      <sheetName val="仕入処理ルール"/>
      <sheetName val="事業部"/>
      <sheetName val="開店"/>
      <sheetName val="広域２部３部結合"/>
      <sheetName val="店舗一覧"/>
      <sheetName val="貼付画面1"/>
      <sheetName val="ﾌｰｽﾞ売荒"/>
      <sheetName val="選択"/>
      <sheetName val="商品台帳"/>
      <sheetName val="ライン・月別　品目数表"/>
      <sheetName val="ﾊｰﾄﾞ①【全データ】"/>
      <sheetName val="品種別計画表〈予算）"/>
      <sheetName val="01-072"/>
      <sheetName val="shtWork1"/>
      <sheetName val="生産計画"/>
      <sheetName val="銘柄７（浸透ﾗﾝｸ）"/>
      <sheetName val="印鑑捺印ﾏｸﾛ"/>
      <sheetName val="ﾁﾗｼ"/>
      <sheetName val="Sheet16"/>
      <sheetName val="比較ヘッダー"/>
      <sheetName val="011101"/>
      <sheetName val="与信一覧_(2)7"/>
      <sheetName val="8510_(2)6"/>
      <sheetName val="2000LISTｔｒｕｅ_11176"/>
      <sheetName val="Sheet1_(2)6"/>
      <sheetName val="_Recovered_SheetName__1_4"/>
      <sheetName val="RD9508V_XLS6"/>
      <sheetName val="10_20-11_126"/>
      <sheetName val="市場クレーム明細_6"/>
      <sheetName val="Plan_sbA6"/>
      <sheetName val="NST_(4)4"/>
      <sheetName val="大連製造ＶＡコストダウン金額纏め_(＄1000以上)_3"/>
      <sheetName val="H9_13"/>
      <sheetName val="Rent_Roll3"/>
      <sheetName val="32_ＹＢ構成2"/>
      <sheetName val="台帳"/>
      <sheetName val="0127000受注処理"/>
      <sheetName val="取引先等一覧"/>
      <sheetName val="新MDPC納品状況（ＩＹ）"/>
      <sheetName val="単価"/>
      <sheetName val="第２章 1.食料品消費支出2"/>
      <sheetName val="加工"/>
      <sheetName val="加工２"/>
      <sheetName val="D28依頼書表紙"/>
      <sheetName val="ｷﾞﾌﾄ"/>
      <sheetName val="JUUGYOUIN"/>
      <sheetName val="加工シート"/>
      <sheetName val="計算"/>
      <sheetName val="溶接付加"/>
      <sheetName val="■13店別展開パターン表 (3)"/>
      <sheetName val="■13店別展開パターン表"/>
      <sheetName val="ＭG５５５、５５４チャンネル"/>
      <sheetName val="区分値シート"/>
      <sheetName val="商品マスタ"/>
      <sheetName val="店別売上構成比"/>
      <sheetName val="外食Z県別"/>
      <sheetName val="プルダウンメニュー20190201"/>
      <sheetName val="プルダウンメニュー20190401"/>
      <sheetName val="家電担当者_"/>
      <sheetName val="42_ＹＢ構成"/>
      <sheetName val="アンケート集計(12_3）"/>
      <sheetName val="QRＳ"/>
      <sheetName val="売上集計"/>
      <sheetName val="ﾏｽﾀｰ入･出力ｼｰﾄ"/>
      <sheetName val="プルダウン項目"/>
      <sheetName val="窓枠ｾｯﾄR"/>
      <sheetName val="H7昇格者"/>
      <sheetName val="宅配伝票リスト"/>
      <sheetName val="APPLE"/>
      <sheetName val="MCDSS"/>
      <sheetName val="選択項目一覧 "/>
      <sheetName val="SIM00_SB"/>
      <sheetName val="クレーム解析記録"/>
      <sheetName val="比較表"/>
      <sheetName val="○得計画"/>
      <sheetName val="Sheet4"/>
      <sheetName val="データ"/>
      <sheetName val="ﾃﾞｰﾀ入力"/>
      <sheetName val="仕入計画AI8月"/>
      <sheetName val="商品構成ｸﾞﾗﾌ（売価別）"/>
      <sheetName val="平均単価"/>
      <sheetName val="選択項目"/>
      <sheetName val="06.05"/>
      <sheetName val="06.05イン"/>
      <sheetName val="06.05直営"/>
      <sheetName val="現状鳥栖 (事業部予測) "/>
      <sheetName val="シート１"/>
      <sheetName val="抽出_Pivot"/>
      <sheetName val="イキプラ選定ラインクラス表"/>
      <sheetName val="契約上棟ｸﾞﾗﾌ"/>
      <sheetName val="貼付画面T"/>
      <sheetName val="貼付画面R"/>
      <sheetName val="週別主力商品(婦人)"/>
      <sheetName val="市場規模"/>
      <sheetName val="ﾏｽﾀｰ"/>
      <sheetName val="ぶつﾏｽﾀｰ"/>
      <sheetName val="外注データ(ここへ入力)"/>
      <sheetName val="NJ基本data"/>
      <sheetName val="現場監督情報"/>
      <sheetName val="案件一覧控え"/>
      <sheetName val="布団乾燥機ｐｐｍ"/>
      <sheetName val="確認完了報告"/>
      <sheetName val="昨年比データ"/>
      <sheetName val="ワーク"/>
      <sheetName val="ﾃﾞｰﾀｼｰﾄ"/>
      <sheetName val="SC入替"/>
      <sheetName val="0801_03全体実績集計"/>
      <sheetName val="8.3～新商品"/>
      <sheetName val="月別落込(新店込)"/>
      <sheetName val="ＦＤ実績 "/>
      <sheetName val="㋱ＰＯＳｏｕｔ実績"/>
      <sheetName val="8月度メーカー比較"/>
      <sheetName val="201808実績"/>
      <sheetName val="201908実績"/>
      <sheetName val="前年比較"/>
      <sheetName val="盆金封"/>
      <sheetName val="軽減税率･ﾊﾝﾃﾞｨﾌｧﾝ"/>
      <sheetName val="STｹｼ･ﾋﾟｯﾄ"/>
      <sheetName val="STｹｼ比較"/>
      <sheetName val="6月度"/>
      <sheetName val="７月度 "/>
      <sheetName val="8月度"/>
      <sheetName val="マスク"/>
      <sheetName val="経費FMT 管理科目"/>
      <sheetName val="分類一覧"/>
      <sheetName val="3月消臭元"/>
      <sheetName val="アパート６６６０"/>
      <sheetName val="業務依頼書"/>
      <sheetName val="ディックＤ"/>
      <sheetName val="フジＤ"/>
      <sheetName val="事Ｄ"/>
      <sheetName val="発売済（価格表反映済）"/>
      <sheetName val="ﾘﾍﾞｰﾄﾗﾝｸ2000"/>
      <sheetName val="工事予算書"/>
      <sheetName val="YAMADA_TSUKUMO_分類比較"/>
      <sheetName val="第3四半期（完）"/>
      <sheetName val="弊社分類別実績"/>
      <sheetName val="貴社分類別別実績"/>
      <sheetName val="原紙"/>
      <sheetName val="現地通貨"/>
      <sheetName val="与信一覧_(2)8"/>
      <sheetName val="8510_(2)7"/>
      <sheetName val="2000LISTｔｒｕｅ_11177"/>
      <sheetName val="Sheet1_(2)7"/>
      <sheetName val="RD9508V_XLS7"/>
      <sheetName val="10_20-11_127"/>
      <sheetName val="市場クレーム明細_7"/>
      <sheetName val="_Recovered_SheetName__1_5"/>
      <sheetName val="NST_(4)5"/>
      <sheetName val="Plan_sbA7"/>
      <sheetName val="大連製造ＶＡコストダウン金額纏め_(＄1000以上)_4"/>
      <sheetName val="H9_14"/>
      <sheetName val="Rent_Roll4"/>
      <sheetName val="32_ＹＢ構成3"/>
      <sheetName val="アンケート集計(12_3）1"/>
      <sheetName val="家電担当者_1"/>
      <sheetName val="42_ＹＢ構成1"/>
      <sheetName val="第２章_1_食料品消費支出2"/>
      <sheetName val="■13店別展開パターン表_(3)"/>
      <sheetName val="選択項目一覧_"/>
      <sheetName val="06_05"/>
      <sheetName val="06_05イン"/>
      <sheetName val="06_05直営"/>
      <sheetName val="現状鳥栖_(事業部予測)_"/>
      <sheetName val="8_3～新商品"/>
      <sheetName val="ＦＤ実績_"/>
      <sheetName val="７月度_"/>
      <sheetName val="経費FMT_管理科目"/>
      <sheetName val="与信一覧_(2)9"/>
      <sheetName val="8510_(2)8"/>
      <sheetName val="2000LISTｔｒｕｅ_11178"/>
      <sheetName val="Sheet1_(2)8"/>
      <sheetName val="RD9508V_XLS8"/>
      <sheetName val="10_20-11_128"/>
      <sheetName val="Plan_sbA8"/>
      <sheetName val="市場クレーム明細_8"/>
      <sheetName val="_Recovered_SheetName__1_6"/>
      <sheetName val="NST_(4)6"/>
      <sheetName val="大連製造ＶＡコストダウン金額纏め_(＄1000以上)_5"/>
      <sheetName val="H9_15"/>
      <sheetName val="Rent_Roll5"/>
      <sheetName val="32_ＹＢ構成4"/>
      <sheetName val="アンケート集計(12_3）2"/>
      <sheetName val="家電担当者_2"/>
      <sheetName val="42_ＹＢ構成2"/>
      <sheetName val="第２章_1_食料品消費支出21"/>
      <sheetName val="■13店別展開パターン表_(3)1"/>
      <sheetName val="選択項目一覧_1"/>
      <sheetName val="06_051"/>
      <sheetName val="06_05イン1"/>
      <sheetName val="06_05直営1"/>
      <sheetName val="現状鳥栖_(事業部予測)_1"/>
      <sheetName val="8_3～新商品1"/>
      <sheetName val="ＦＤ実績_1"/>
      <sheetName val="７月度_1"/>
      <sheetName val="経費FMT_管理科目1"/>
      <sheetName val="Catalog"/>
      <sheetName val="Settings"/>
      <sheetName val="消すな！"/>
      <sheetName val="棚卸030203下田"/>
      <sheetName val="ＮＣ"/>
      <sheetName val="配荷目標"/>
      <sheetName val="新"/>
      <sheetName val="集計表"/>
      <sheetName val="人時予算"/>
      <sheetName val="一覧"/>
      <sheetName val="Front Cover 表紙（３SET）"/>
      <sheetName val="店舗P"/>
      <sheetName val="基本"/>
      <sheetName val="ﾌﾙｰﾂ村pet"/>
      <sheetName val="表紙数字"/>
      <sheetName val="ﾃﾚｺTｼｬﾂ"/>
      <sheetName val="データ作成シート"/>
      <sheetName val="和風アイス調査アンケート結果"/>
      <sheetName val="予算・計画検証"/>
      <sheetName val="サマリ"/>
      <sheetName val="消耗品"/>
      <sheetName val="富田貼"/>
      <sheetName val="数値生鮮フロア"/>
      <sheetName val="状態・数値割合"/>
      <sheetName val="数値フロア"/>
      <sheetName val="状態個人別"/>
      <sheetName val="日配マスター"/>
      <sheetName val="つばさ保育園"/>
      <sheetName val="近文保育所"/>
      <sheetName val="いずみこども保育園"/>
      <sheetName val="慈光園保育所"/>
      <sheetName val="東神楽中央保育園"/>
      <sheetName val="神楽保育園 "/>
      <sheetName val="ふたばの庭"/>
      <sheetName val="商品マスター"/>
      <sheetName val="主要港 10"/>
      <sheetName val="ほうれん草とﾍﾞｰｺﾝ"/>
      <sheetName val="商品規格書"/>
      <sheetName val="販促実績 (2)"/>
      <sheetName val="粗利リビングステージ"/>
      <sheetName val="粗利ｱﾚｺﾚ"/>
      <sheetName val="粗利ｱｳﾄﾚｯﾄ"/>
      <sheetName val="アレコレ予算"/>
      <sheetName val="シュミレーション"/>
      <sheetName val="2018 年間計画"/>
      <sheetName val="備考3"/>
      <sheetName val="2019 予算2"/>
      <sheetName val="2018 高松店方針"/>
      <sheetName val="2018売上粗利計画"/>
      <sheetName val="18年度販促計画 "/>
      <sheetName val="組織と担当"/>
      <sheetName val="地区別実績"/>
      <sheetName val="マッピング"/>
      <sheetName val="★展示構成表"/>
      <sheetName val="売上構成表"/>
      <sheetName val="2017年間実績"/>
      <sheetName val="月別売上計画"/>
      <sheetName val="月別粗利計画 "/>
      <sheetName val="在庫金額"/>
      <sheetName val="WORK"/>
      <sheetName val="八  (2)"/>
      <sheetName val="青 (3)"/>
      <sheetName val="仙台"/>
      <sheetName val="関東 (2)"/>
      <sheetName val="関東"/>
      <sheetName val="札"/>
      <sheetName val="青 (2)"/>
      <sheetName val="八 "/>
      <sheetName val="二本松"/>
      <sheetName val="二本松 (2)"/>
      <sheetName val="二本松 (3)"/>
      <sheetName val="二本松 (4)"/>
      <sheetName val="メーカー欠品横持"/>
      <sheetName val="メーカー欠品拠点横持報告書（本社行）盛岡"/>
      <sheetName val="貸出比較"/>
      <sheetName val="3"/>
      <sheetName val="仕入"/>
      <sheetName val="シミュレーションD1 "/>
      <sheetName val="与信一覧_(2)10"/>
      <sheetName val="8510_(2)9"/>
      <sheetName val="2000LISTｔｒｕｅ_11179"/>
      <sheetName val="Sheet1_(2)9"/>
      <sheetName val="RD9508V_XLS9"/>
      <sheetName val="_Recovered_SheetName__1_7"/>
      <sheetName val="10_20-11_129"/>
      <sheetName val="市場クレーム明細_9"/>
      <sheetName val="Plan_sbA9"/>
      <sheetName val="NST_(4)7"/>
      <sheetName val="大連製造ＶＡコストダウン金額纏め_(＄1000以上)_6"/>
      <sheetName val="H9_16"/>
      <sheetName val="Rent_Roll6"/>
      <sheetName val="32_ＹＢ構成5"/>
      <sheetName val="アンケート集計(12_3）3"/>
      <sheetName val="家電担当者_3"/>
      <sheetName val="42_ＹＢ構成3"/>
      <sheetName val="第２章_1_食料品消費支出22"/>
      <sheetName val="■13店別展開パターン表_(3)2"/>
      <sheetName val="選択項目一覧_2"/>
      <sheetName val="06_052"/>
      <sheetName val="06_05イン2"/>
      <sheetName val="06_05直営2"/>
      <sheetName val="現状鳥栖_(事業部予測)_2"/>
      <sheetName val="8_3～新商品2"/>
      <sheetName val="ＦＤ実績_2"/>
      <sheetName val="７月度_2"/>
      <sheetName val="経費FMT_管理科目2"/>
      <sheetName val="主要港_10"/>
      <sheetName val="販促実績_(2)"/>
      <sheetName val="Front_Cover_表紙（３SET）"/>
      <sheetName val="社員マスタ"/>
      <sheetName val="ParamCATE"/>
      <sheetName val="ParamCLASS"/>
      <sheetName val="ParamTENPO"/>
      <sheetName val="ParamBUMON"/>
      <sheetName val="設定画面"/>
      <sheetName val="店舗リスト"/>
      <sheetName val="担当表"/>
      <sheetName val="部品分類明細"/>
      <sheetName val="部品分類明細 (2)"/>
      <sheetName val="改廃棚割商品ｶﾙﾃ1（要記入）"/>
      <sheetName val="地域 CD"/>
      <sheetName val="INS住まい"/>
      <sheetName val="与信一覧_(2)11"/>
      <sheetName val="8510_(2)10"/>
      <sheetName val="2000LISTｔｒｕｅ_111710"/>
      <sheetName val="Sheet1_(2)10"/>
      <sheetName val="RD9508V_XLS10"/>
      <sheetName val="_Recovered_SheetName__1_8"/>
      <sheetName val="10_20-11_1210"/>
      <sheetName val="市場クレーム明細_10"/>
      <sheetName val="Plan_sbA10"/>
      <sheetName val="NST_(4)8"/>
      <sheetName val="大連製造ＶＡコストダウン金額纏め_(＄1000以上)_7"/>
      <sheetName val="H9_17"/>
      <sheetName val="Rent_Roll7"/>
      <sheetName val="32_ＹＢ構成6"/>
      <sheetName val="アンケート集計(12_3）4"/>
      <sheetName val="家電担当者_4"/>
      <sheetName val="42_ＹＢ構成4"/>
      <sheetName val="第２章_1_食料品消費支出23"/>
      <sheetName val="■13店別展開パターン表_(3)3"/>
      <sheetName val="選択項目一覧_3"/>
      <sheetName val="06_053"/>
      <sheetName val="06_05イン3"/>
      <sheetName val="06_05直営3"/>
      <sheetName val="現状鳥栖_(事業部予測)_3"/>
      <sheetName val="8_3～新商品3"/>
      <sheetName val="ＦＤ実績_3"/>
      <sheetName val="７月度_3"/>
      <sheetName val="経費FMT_管理科目3"/>
      <sheetName val="主要港_101"/>
      <sheetName val="販促実績_(2)1"/>
      <sheetName val="Front_Cover_表紙（３SET）1"/>
      <sheetName val="八__(2)"/>
      <sheetName val="青_(3)"/>
      <sheetName val="関東_(2)"/>
      <sheetName val="青_(2)"/>
      <sheetName val="八_"/>
      <sheetName val="二本松_(2)"/>
      <sheetName val="二本松_(3)"/>
      <sheetName val="二本松_(4)"/>
      <sheetName val="商品"/>
      <sheetName val="S060204"/>
      <sheetName val="店在一覧"/>
      <sheetName val="ﾁﾗｼ枚数"/>
      <sheetName val="区分表"/>
      <sheetName val="地域_CD"/>
      <sheetName val="商品形名表"/>
      <sheetName val="OLAP"/>
      <sheetName val="帳合表"/>
      <sheetName val="Effort by Menu Item"/>
      <sheetName val="S070080"/>
      <sheetName val="返答"/>
      <sheetName val="地域_CD1"/>
      <sheetName val="対象内容"/>
      <sheetName val="ﾄﾞﾛｯﾌﾟﾀﾞｳﾝ"/>
      <sheetName val="実績管理表"/>
      <sheetName val="実績管理表(商品別)"/>
      <sheetName val="商品群別販売計画(前期)"/>
      <sheetName val="実績管理表(店別)"/>
      <sheetName val="商品群別販売計画(後期)"/>
      <sheetName val="印刷用"/>
      <sheetName val="データ販路3層"/>
      <sheetName val="データ業種"/>
      <sheetName val="データ契約プラン"/>
      <sheetName val="データ販路2層"/>
      <sheetName val="データ営業担当（エリア）"/>
      <sheetName val="データ営業担当（MS）"/>
      <sheetName val="データ販路4層"/>
      <sheetName val="データプルダウン"/>
      <sheetName val="給与マスタ区分"/>
      <sheetName val="与信一覧_(2)12"/>
      <sheetName val="8510_(2)11"/>
      <sheetName val="2000LISTｔｒｕｅ_111711"/>
      <sheetName val="Sheet1_(2)11"/>
      <sheetName val="RD9508V_XLS11"/>
      <sheetName val="10_20-11_1211"/>
      <sheetName val="Plan_sbA11"/>
      <sheetName val="市場クレーム明細_11"/>
      <sheetName val="_Recovered_SheetName__1_9"/>
      <sheetName val="NST_(4)9"/>
      <sheetName val="大連製造ＶＡコストダウン金額纏め_(＄1000以上)_8"/>
      <sheetName val="H9_18"/>
      <sheetName val="Rent_Roll8"/>
      <sheetName val="32_ＹＢ構成7"/>
      <sheetName val="アンケート集計(12_3）5"/>
      <sheetName val="家電担当者_5"/>
      <sheetName val="42_ＹＢ構成5"/>
      <sheetName val="第２章_1_食料品消費支出24"/>
      <sheetName val="■13店別展開パターン表_(3)4"/>
      <sheetName val="選択項目一覧_4"/>
      <sheetName val="06_054"/>
      <sheetName val="06_05イン4"/>
      <sheetName val="06_05直営4"/>
      <sheetName val="現状鳥栖_(事業部予測)_4"/>
      <sheetName val="8_3～新商品4"/>
      <sheetName val="ＦＤ実績_4"/>
      <sheetName val="７月度_4"/>
      <sheetName val="経費FMT_管理科目4"/>
      <sheetName val="Front_Cover_表紙（３SET）2"/>
      <sheetName val="神楽保育園_"/>
      <sheetName val="主要港_102"/>
      <sheetName val="販促実績_(2)2"/>
      <sheetName val="2018_年間計画"/>
      <sheetName val="2019_予算2"/>
      <sheetName val="2018_高松店方針"/>
      <sheetName val="18年度販促計画_"/>
      <sheetName val="月別粗利計画_"/>
      <sheetName val="八__(2)1"/>
      <sheetName val="青_(3)1"/>
      <sheetName val="関東_(2)1"/>
      <sheetName val="青_(2)1"/>
      <sheetName val="八_1"/>
      <sheetName val="二本松_(2)1"/>
      <sheetName val="二本松_(3)1"/>
      <sheetName val="二本松_(4)1"/>
      <sheetName val="シミュレーションD1_"/>
      <sheetName val="部品分類明細_(2)"/>
      <sheetName val="地域_CD2"/>
      <sheetName val="Effort_by_Menu_Item"/>
      <sheetName val="登録"/>
      <sheetName val="SPLDAT"/>
      <sheetName val="コクミン"/>
      <sheetName val="ﾘｽﾄﾃﾞｰﾀ"/>
      <sheetName val="拠点"/>
      <sheetName val="原材料ｱｲﾃﾑﾏｽﾀｰ"/>
      <sheetName val="仕入数"/>
      <sheetName val="製造数"/>
      <sheetName val="製造ｱｲﾃﾑﾏｽﾀｰ"/>
      <sheetName val="在庫数"/>
      <sheetName val="原料内訳"/>
      <sheetName val="既存光源概要"/>
      <sheetName val="ﾌﾟﾙﾀﾞｳﾝ"/>
      <sheetName val="ｺｰﾄﾞ表"/>
      <sheetName val="既存器具情報"/>
      <sheetName val="【自動計算】ﾗﾝﾌﾟ元ﾃﾞｰﾀ"/>
      <sheetName val="ISF10+2"/>
      <sheetName val="商品名"/>
      <sheetName val="エリア別既存"/>
      <sheetName val="依頼種別"/>
      <sheetName val="日別予算"/>
      <sheetName val="従業員設定"/>
      <sheetName val="作業設定"/>
      <sheetName val="ブランドリスト"/>
      <sheetName val="与信一覧_(2)13"/>
      <sheetName val="8510_(2)12"/>
      <sheetName val="2000LISTｔｒｕｅ_111712"/>
      <sheetName val="Sheet1_(2)12"/>
      <sheetName val="RD9508V_XLS12"/>
      <sheetName val="市場クレーム明細_12"/>
      <sheetName val="_Recovered_SheetName__1_10"/>
      <sheetName val="10_20-11_1212"/>
      <sheetName val="Plan_sbA12"/>
      <sheetName val="NST_(4)10"/>
      <sheetName val="大連製造ＶＡコストダウン金額纏め_(＄1000以上)_9"/>
      <sheetName val="H9_19"/>
      <sheetName val="Rent_Roll9"/>
      <sheetName val="32_ＹＢ構成8"/>
      <sheetName val="42_ＹＢ構成6"/>
      <sheetName val="家電担当者_6"/>
      <sheetName val="アンケート集計(12_3）6"/>
      <sheetName val="第２章_1_食料品消費支出25"/>
      <sheetName val="■13店別展開パターン表_(3)5"/>
      <sheetName val="06_055"/>
      <sheetName val="06_05イン5"/>
      <sheetName val="06_05直営5"/>
      <sheetName val="現状鳥栖_(事業部予測)_5"/>
      <sheetName val="選択項目一覧_5"/>
      <sheetName val="経費FMT_管理科目5"/>
      <sheetName val="8_3～新商品5"/>
      <sheetName val="ＦＤ実績_5"/>
      <sheetName val="７月度_5"/>
      <sheetName val="Front_Cover_表紙（３SET）3"/>
      <sheetName val="シミュレーションD1_3"/>
      <sheetName val="部品分類明細_(2)3"/>
      <sheetName val="神楽保育園_3"/>
      <sheetName val="主要港_103"/>
      <sheetName val="販促実績_(2)3"/>
      <sheetName val="地域_CD3"/>
      <sheetName val="八__(2)3"/>
      <sheetName val="青_(3)3"/>
      <sheetName val="関東_(2)3"/>
      <sheetName val="青_(2)3"/>
      <sheetName val="八_3"/>
      <sheetName val="二本松_(2)3"/>
      <sheetName val="二本松_(3)3"/>
      <sheetName val="二本松_(4)3"/>
      <sheetName val="2018_年間計画3"/>
      <sheetName val="2019_予算23"/>
      <sheetName val="2018_高松店方針3"/>
      <sheetName val="18年度販促計画_3"/>
      <sheetName val="月別粗利計画_3"/>
      <sheetName val="シミュレーションD1_1"/>
      <sheetName val="部品分類明細_(2)1"/>
      <sheetName val="神楽保育園_1"/>
      <sheetName val="2018_年間計画1"/>
      <sheetName val="2019_予算21"/>
      <sheetName val="2018_高松店方針1"/>
      <sheetName val="18年度販促計画_1"/>
      <sheetName val="月別粗利計画_1"/>
      <sheetName val="シミュレーションD1_2"/>
      <sheetName val="部品分類明細_(2)2"/>
      <sheetName val="神楽保育園_2"/>
      <sheetName val="八__(2)2"/>
      <sheetName val="青_(3)2"/>
      <sheetName val="関東_(2)2"/>
      <sheetName val="青_(2)2"/>
      <sheetName val="八_2"/>
      <sheetName val="二本松_(2)2"/>
      <sheetName val="二本松_(3)2"/>
      <sheetName val="二本松_(4)2"/>
      <sheetName val="2018_年間計画2"/>
      <sheetName val="2019_予算22"/>
      <sheetName val="2018_高松店方針2"/>
      <sheetName val="18年度販促計画_2"/>
      <sheetName val="月別粗利計画_2"/>
      <sheetName val="分類"/>
      <sheetName val="Effort_by_Menu_Item1"/>
      <sheetName val="摘要ﾘｽﾄ"/>
      <sheetName val="Ｇ月間達成表"/>
      <sheetName val="Ｐ月間達成表"/>
      <sheetName val="祝日一覧"/>
      <sheetName val="入力規則"/>
      <sheetName val="小口項目"/>
      <sheetName val="まとめ"/>
      <sheetName val="(削除禁止)日販ｸﾞﾗﾌ⑩"/>
      <sheetName val="調査シート"/>
      <sheetName val="与信一覧_(2)14"/>
      <sheetName val="8510_(2)13"/>
      <sheetName val="2000LISTｔｒｕｅ_111713"/>
      <sheetName val="Sheet1_(2)13"/>
      <sheetName val="RD9508V_XLS13"/>
      <sheetName val="市場クレーム明細_13"/>
      <sheetName val="_Recovered_SheetName__1_11"/>
      <sheetName val="10_20-11_1213"/>
      <sheetName val="Plan_sbA13"/>
      <sheetName val="NST_(4)11"/>
      <sheetName val="大連製造ＶＡコストダウン金額纏め_(＄1000以上)_10"/>
      <sheetName val="H9_110"/>
      <sheetName val="Rent_Roll10"/>
      <sheetName val="32_ＹＢ構成9"/>
      <sheetName val="42_ＹＢ構成7"/>
      <sheetName val="家電担当者_7"/>
      <sheetName val="アンケート集計(12_3）7"/>
      <sheetName val="第２章_1_食料品消費支出26"/>
      <sheetName val="■13店別展開パターン表_(3)6"/>
      <sheetName val="06_056"/>
      <sheetName val="06_05イン6"/>
      <sheetName val="06_05直営6"/>
      <sheetName val="現状鳥栖_(事業部予測)_6"/>
      <sheetName val="選択項目一覧_6"/>
      <sheetName val="経費FMT_管理科目6"/>
      <sheetName val="8_3～新商品6"/>
      <sheetName val="ＦＤ実績_6"/>
      <sheetName val="７月度_6"/>
      <sheetName val="Front_Cover_表紙（３SET）4"/>
      <sheetName val="シミュレーションD1_4"/>
      <sheetName val="部品分類明細_(2)4"/>
      <sheetName val="神楽保育園_4"/>
      <sheetName val="主要港_104"/>
      <sheetName val="販促実績_(2)4"/>
      <sheetName val="地域_CD4"/>
      <sheetName val="八__(2)4"/>
      <sheetName val="青_(3)4"/>
      <sheetName val="関東_(2)4"/>
      <sheetName val="青_(2)4"/>
      <sheetName val="八_4"/>
      <sheetName val="二本松_(2)4"/>
      <sheetName val="二本松_(3)4"/>
      <sheetName val="二本松_(4)4"/>
      <sheetName val="2018_年間計画4"/>
      <sheetName val="2019_予算24"/>
      <sheetName val="2018_高松店方針4"/>
      <sheetName val="18年度販促計画_4"/>
      <sheetName val="月別粗利計画_4"/>
      <sheetName val="■電器"/>
      <sheetName val="MIS"/>
      <sheetName val="Sheet15"/>
      <sheetName val="Sheet18"/>
      <sheetName val="ダニー店別"/>
      <sheetName val="ワンプッシュ初動"/>
      <sheetName val="WK"/>
      <sheetName val="ﾊﾟｯｹｰｼﾞ"/>
      <sheetName val="損益計画(2022年)"/>
      <sheetName val="園芸一覧"/>
      <sheetName val="データ貼り付け（0372176-84を貼り付け）"/>
      <sheetName val="\\nas028\c\Volumes\Data\進行中データ\"/>
      <sheetName val="\Volumes\Data\進行中データ\アイリス148\14"/>
      <sheetName val="店舗割表"/>
      <sheetName val="回答電話番号リスト"/>
      <sheetName val="⑤優先順位表"/>
      <sheetName val="課題⑨"/>
      <sheetName val="年間１"/>
      <sheetName val="年間１ (2)"/>
      <sheetName val="サブカテデータ売上累積"/>
      <sheetName val="参）種別リスト"/>
      <sheetName val="98-12"/>
      <sheetName val="週別部門別実績 (2)"/>
      <sheetName val="Sheet372"/>
      <sheetName val="売価納価ｻｲｽﾞ "/>
      <sheetName val="ＥＯＳ一覧"/>
      <sheetName val="売価JANMST"/>
      <sheetName val="棚割表"/>
      <sheetName val="03"/>
      <sheetName val="04"/>
      <sheetName val="Sheet1011"/>
      <sheetName val="tenso"/>
      <sheetName val="週別主力商品(婦쟀⢦"/>
      <sheetName val="週別主力商品(婦蒘 "/>
      <sheetName val="週別主力商品(婦터⪉"/>
      <sheetName val="週別主力商品(婦悈䅂"/>
      <sheetName val="週別主力商品(婦镸〾"/>
      <sheetName val="週別主力商品(婦䦘᧚"/>
      <sheetName val="週別主力商品(婦偐㵓"/>
      <sheetName val="現地_x0002__x0000_"/>
      <sheetName val="従業員マスタメンテ"/>
      <sheetName val="[RD9508V.XLS]__nas028_c_Volum_2"/>
      <sheetName val="[RD9508V.XLS]_Volumes_Data____2"/>
      <sheetName val="AH_Sensor_data"/>
      <sheetName val="code_list"/>
      <sheetName val="IR_Sensor_data"/>
      <sheetName val="入力規制"/>
      <sheetName val="Sheet368"/>
      <sheetName val="3Q ｲﾝﾃ"/>
      <sheetName val="対象者"/>
      <sheetName val="Sheet1009"/>
      <sheetName val="ラベル表"/>
      <sheetName val="H12春_1"/>
      <sheetName val="全件反映リスト"/>
      <sheetName val="Sheet371"/>
      <sheetName val="Sheet1003"/>
      <sheetName val="ﾏｰｹｯﾄ概要"/>
      <sheetName val="CAL"/>
      <sheetName val="調理試験"/>
      <sheetName val="ﾃﾞｻﾞｲﾝ申請書 Backend"/>
      <sheetName val="与信一覧_(2)15"/>
      <sheetName val="8510_(2)14"/>
      <sheetName val="2000LISTｔｒｕｅ_111714"/>
      <sheetName val="Sheet1_(2)14"/>
      <sheetName val="RD9508V_XLS14"/>
      <sheetName val="10_20-11_1214"/>
      <sheetName val="Plan_sbA14"/>
      <sheetName val="市場クレーム明細_14"/>
      <sheetName val="_Recovered_SheetName__1_12"/>
      <sheetName val="NST_(4)12"/>
      <sheetName val="大連製造ＶＡコストダウン金額纏め_(＄1000以上)_11"/>
      <sheetName val="H9_111"/>
      <sheetName val="Rent_Roll11"/>
      <sheetName val="32_ＹＢ構成10"/>
      <sheetName val="アンケート集計(12_3）8"/>
      <sheetName val="家電担当者_8"/>
      <sheetName val="42_ＹＢ構成8"/>
      <sheetName val="第２章_1_食料品消費支出27"/>
      <sheetName val="■13店別展開パターン表_(3)7"/>
      <sheetName val="選択項目一覧_7"/>
      <sheetName val="ＦＤ実績_7"/>
      <sheetName val="７月度_7"/>
      <sheetName val="06_057"/>
      <sheetName val="06_05イン7"/>
      <sheetName val="06_05直営7"/>
      <sheetName val="現状鳥栖_(事業部予測)_7"/>
      <sheetName val="8_3～新商品7"/>
      <sheetName val="経費FMT_管理科目7"/>
      <sheetName val="Front_Cover_表紙（３SET）5"/>
      <sheetName val="神楽保育園_5"/>
      <sheetName val="主要港_105"/>
      <sheetName val="販促実績_(2)5"/>
      <sheetName val="2018_年間計画5"/>
      <sheetName val="2019_予算25"/>
      <sheetName val="2018_高松店方針5"/>
      <sheetName val="18年度販促計画_5"/>
      <sheetName val="月別粗利計画_5"/>
      <sheetName val="八__(2)5"/>
      <sheetName val="青_(3)5"/>
      <sheetName val="関東_(2)5"/>
      <sheetName val="青_(2)5"/>
      <sheetName val="八_5"/>
      <sheetName val="二本松_(2)5"/>
      <sheetName val="二本松_(3)5"/>
      <sheetName val="二本松_(4)5"/>
      <sheetName val="シミュレーションD1_5"/>
      <sheetName val="部品分類明細_(2)5"/>
      <sheetName val="地域_CD5"/>
      <sheetName val="Effort_by_Menu_Item2"/>
      <sheetName val="年間１_(2)"/>
      <sheetName val="Account"/>
      <sheetName val="[RD9508V.XLS]__nas028_c_Volum_3"/>
      <sheetName val="[RD9508V.XLS]_Volumes_Data____3"/>
      <sheetName val="[RD9508V.XLS]__nas028_c_Volum_4"/>
      <sheetName val="[RD9508V.XLS]_Volumes_Data____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 refreshError="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/>
      <sheetData sheetId="705"/>
      <sheetData sheetId="706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 refreshError="1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/>
      <sheetData sheetId="1020" refreshError="1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 refreshError="1"/>
      <sheetData sheetId="1038" refreshError="1"/>
      <sheetData sheetId="1039"/>
      <sheetData sheetId="1040" refreshError="1"/>
      <sheetData sheetId="1041" refreshError="1"/>
      <sheetData sheetId="1042" refreshError="1"/>
      <sheetData sheetId="1043"/>
      <sheetData sheetId="1044"/>
      <sheetData sheetId="1045" refreshError="1"/>
      <sheetData sheetId="1046" refreshError="1"/>
      <sheetData sheetId="1047" refreshError="1"/>
      <sheetData sheetId="1048" refreshError="1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</sheetDataSet>
  </externalBook>
</externalLink>
</file>

<file path=xl/externalLinks/externalLink35.xml><?xml version="1.0" encoding="utf-8"?>
<externalLink xmlns:r="http://schemas.openxmlformats.org/officeDocument/2006/relationships" xmlns="http://schemas.openxmlformats.org/spreadsheetml/2006/main">
  <externalBook r:id="rId1">
    <sheetNames>
      <sheetName val="得意先別企画進捗"/>
      <sheetName val="シーリング実績2012"/>
      <sheetName val="A"/>
      <sheetName val="Ｃ’表"/>
      <sheetName val="HQ"/>
      <sheetName val="HE(他）"/>
      <sheetName val="RD9501V"/>
      <sheetName val="全合計"/>
      <sheetName val="更新版"/>
      <sheetName val="好調不調"/>
      <sheetName val="コピー【重要】照明やぐら進捗報告"/>
      <sheetName val="SBプラ鉢"/>
      <sheetName val="NEW95G2"/>
      <sheetName val="shere"/>
      <sheetName val="13年度発生売上予算"/>
      <sheetName val="昨対"/>
      <sheetName val="#REF"/>
      <sheetName val="竹四つ目垣"/>
      <sheetName val="ﾄﾞｯﾄｺﾑ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6.xml><?xml version="1.0" encoding="utf-8"?>
<externalLink xmlns:r="http://schemas.openxmlformats.org/officeDocument/2006/relationships" xmlns="http://schemas.openxmlformats.org/spreadsheetml/2006/main">
  <externalBook r:id="rId1">
    <sheetNames>
      <sheetName val="まとめ （修正）"/>
      <sheetName val="ウエルシア稼働計画"/>
      <sheetName val="シェアグラフ"/>
      <sheetName val="稼動計画（事計）阿部見込0823"/>
      <sheetName val="稼働率グラフ（全体）"/>
      <sheetName val="稼働率グラフ（プリーツ）"/>
      <sheetName val="稼働率グラフ（立体）"/>
      <sheetName val="計画明細（14年度）"/>
      <sheetName val="2014平均＠"/>
      <sheetName val="マスク３期グラフ"/>
      <sheetName val="年度計画"/>
      <sheetName val="まとめ"/>
      <sheetName val="キャパ"/>
      <sheetName val="生産枚数グラフ"/>
      <sheetName val="GSV目標"/>
      <sheetName val="HQ"/>
      <sheetName val="Ｃ’表"/>
      <sheetName val="HE(他）"/>
      <sheetName val="RD9501V"/>
      <sheetName val="A"/>
      <sheetName val="13年度発生売上予算"/>
      <sheetName val="31w【報連相】2014年マスク生産計画"/>
      <sheetName val="表3"/>
      <sheetName val="好調不調"/>
      <sheetName val="NEW95G2"/>
      <sheetName val="全合計"/>
      <sheetName val="更新版"/>
      <sheetName val="SBプラ鉢"/>
      <sheetName val="ﾄﾞｯﾄｺﾑ"/>
      <sheetName val="データ入力"/>
      <sheetName val="#ref!"/>
      <sheetName val="Ｃ’’表"/>
      <sheetName val="Ｃ'表"/>
      <sheetName val="まとめ_（修正）"/>
      <sheetName val="溶接付加"/>
      <sheetName val="SKU_31"/>
      <sheetName val="P1実績①"/>
      <sheetName val="対象製品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7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  <sheetName val="Sheet3"/>
      <sheetName val="家電地域"/>
      <sheetName val="HE(他）"/>
      <sheetName val="NEW95G2"/>
      <sheetName val="Ｃ’表"/>
      <sheetName val="全合計"/>
      <sheetName val="13年度発生売上予算"/>
      <sheetName val="RD9501V"/>
      <sheetName val="新規Microsoft Office Excel 97-200"/>
      <sheetName val="#REF!"/>
      <sheetName val="HQ"/>
      <sheetName val="表3"/>
      <sheetName val="A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:r="http://schemas.openxmlformats.org/officeDocument/2006/relationships" xmlns="http://schemas.openxmlformats.org/spreadsheetml/2006/main">
  <externalBook r:id="rId1">
    <sheetNames>
      <sheetName val="与信一覧 (2)"/>
      <sheetName val="与信一覧_(2)"/>
      <sheetName val="住所録"/>
      <sheetName val="ｱｸｾｽｸﾞﾗﾌ"/>
      <sheetName val="GSV目標"/>
      <sheetName val="NEW95G2"/>
      <sheetName val="与信会議資料"/>
      <sheetName val="RD9501V"/>
      <sheetName val="#REF"/>
      <sheetName val="SBプラ鉢"/>
      <sheetName val="更新版"/>
      <sheetName val="HQ"/>
      <sheetName val="13年度発生売上予算"/>
      <sheetName val="RD9505A"/>
      <sheetName val="Ｃ’表"/>
      <sheetName val="shere"/>
      <sheetName val="領収書"/>
      <sheetName val="編集用シート"/>
      <sheetName val="昨対"/>
      <sheetName val="SKU_31"/>
      <sheetName val="表3"/>
      <sheetName val="提供用EXCEL"/>
      <sheetName val="全合計"/>
      <sheetName val="HE(他）"/>
      <sheetName val="ﾄﾞｯﾄｺﾑ"/>
      <sheetName val="部門別計画"/>
      <sheetName val="●キャンペーン・企画ヒアリング"/>
      <sheetName val="XS"/>
      <sheetName val="#REF!"/>
      <sheetName val="全国計"/>
      <sheetName val="与信一覧_(2)1"/>
      <sheetName val="受取配当金"/>
      <sheetName val="1"/>
      <sheetName val="5月"/>
      <sheetName val="クレーム解析記録"/>
      <sheetName val="2000LISTｔｒｕｅ 1117"/>
      <sheetName val="与信一覧_(2)2"/>
      <sheetName val="11wG部門ﾗﾝｷﾝｸﾞ"/>
      <sheetName val="Ｃ’’表"/>
      <sheetName val="竹四つ目垣"/>
      <sheetName val="入力"/>
      <sheetName val="社外秘；HCﾋﾞｼﾞﾈｽﾁｬﾝｽ"/>
      <sheetName val="Plan sbA"/>
      <sheetName val="宛名"/>
      <sheetName val="４週指示"/>
      <sheetName val="8以上社員"/>
      <sheetName val="与信一覧_(2)3"/>
      <sheetName val="2000LISTｔｒｕｅ_1117"/>
      <sheetName val="Plan_sbA"/>
      <sheetName val="与信一覧_(2)4"/>
      <sheetName val="2000LISTｔｒｕｅ_11171"/>
      <sheetName val="Plan_sbA1"/>
      <sheetName val="ｵｰﾀﾞｰ"/>
      <sheetName val="Ｃ’’’’表"/>
      <sheetName val="国別"/>
      <sheetName val="6月&amp;12月 (2)"/>
      <sheetName val="SUMMARY"/>
      <sheetName val="Data input"/>
      <sheetName val="商品リスト"/>
      <sheetName val="図8"/>
      <sheetName val="外注トライ"/>
      <sheetName val="　月次報告（数値データ）　"/>
      <sheetName val="売価納価ｻｲｽﾞ "/>
      <sheetName val="ＥＯＳ一覧"/>
      <sheetName val="売価JANMST"/>
      <sheetName val="棚割表"/>
      <sheetName val="ﾃﾚｺTｼｬﾂ"/>
      <sheetName val="データ入力"/>
      <sheetName val="直送ｺﾝﾃﾅ管理表"/>
      <sheetName val="ﾃﾞｰﾀ"/>
      <sheetName val="市場規模"/>
      <sheetName val="選択内容1"/>
      <sheetName val="選択内容２"/>
      <sheetName val="Ｃ'表"/>
      <sheetName val="単品入力"/>
      <sheetName val="富田貼"/>
      <sheetName val="シミュレーションD1 "/>
      <sheetName val="与信一覧_(2)5"/>
      <sheetName val="2000LISTｔｒｕｅ_11172"/>
      <sheetName val="Plan_sbA2"/>
      <sheetName val="6月&amp;12月_(2)"/>
      <sheetName val="Data_input"/>
      <sheetName val="売価納価ｻｲｽﾞ_"/>
      <sheetName val="表紙"/>
      <sheetName val="Please wait..."/>
      <sheetName val="選択内容"/>
      <sheetName val="与信一覧_(2)6"/>
      <sheetName val="2000LISTｔｒｕｅ_11173"/>
      <sheetName val="Plan_sbA3"/>
      <sheetName val="6月&amp;12月_(2)1"/>
      <sheetName val="Data_input1"/>
      <sheetName val="売価納価ｻｲｽﾞ_1"/>
      <sheetName val="シミュレーションD1_"/>
      <sheetName val="管理引当金"/>
      <sheetName val="与信一覧_(2)7"/>
      <sheetName val="2000LISTｔｒｕｅ_11174"/>
      <sheetName val="Plan_sbA4"/>
      <sheetName val="6月&amp;12月_(2)2"/>
      <sheetName val="Data_input2"/>
      <sheetName val="売価納価ｻｲｽﾞ_2"/>
      <sheetName val="シミュレーションD1_1"/>
      <sheetName val="Please_wait___"/>
      <sheetName val="全国"/>
      <sheetName val="【2023年】杉本スケジュール管理"/>
      <sheetName val="与信一覧_(2)8"/>
      <sheetName val="2000LISTｔｒｕｅ_11175"/>
      <sheetName val="Plan_sbA5"/>
      <sheetName val="6月&amp;12月_(2)3"/>
      <sheetName val="Data_input3"/>
      <sheetName val="売価納価ｻｲｽﾞ_3"/>
      <sheetName val="シミュレーションD1_2"/>
      <sheetName val="Please_wait__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>
        <row r="4">
          <cell r="BR4">
            <v>36370.614300925925</v>
          </cell>
        </row>
      </sheetData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>
        <row r="4">
          <cell r="BR4">
            <v>36370.614300925925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>
        <row r="4">
          <cell r="BR4">
            <v>36370.614300925925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39.xml><?xml version="1.0" encoding="utf-8"?>
<externalLink xmlns:r="http://schemas.openxmlformats.org/officeDocument/2006/relationships" xmlns="http://schemas.openxmlformats.org/spreadsheetml/2006/main">
  <externalBook r:id="rId1">
    <sheetNames>
      <sheetName val="電球チャンスロス"/>
      <sheetName val="RD9501V"/>
      <sheetName val="HE(他）"/>
      <sheetName val="●電球チャンスロス提案"/>
      <sheetName val="HQ"/>
      <sheetName val="与信一覧 (2)"/>
      <sheetName val="ｱｸｾｽｸﾞﾗﾌ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0.xml><?xml version="1.0" encoding="utf-8"?>
<externalLink xmlns:r="http://schemas.openxmlformats.org/officeDocument/2006/relationships" xmlns="http://schemas.openxmlformats.org/spreadsheetml/2006/main">
  <externalBook r:id="rId1">
    <sheetNames>
      <sheetName val="全体"/>
      <sheetName val="Sheet1"/>
      <sheetName val="Sheet2"/>
      <sheetName val="Sheet3"/>
      <sheetName val="#REF"/>
      <sheetName val="#REF!"/>
      <sheetName val="13年度発生売上予算"/>
      <sheetName val="HE(他）"/>
      <sheetName val="HQ"/>
      <sheetName val="RD9501V"/>
      <sheetName val="Ｃ’表"/>
      <sheetName val="全合計"/>
      <sheetName val="A"/>
      <sheetName val="GSV目標"/>
      <sheetName val="NEW95G2"/>
      <sheetName val="RD9505A"/>
      <sheetName val="３期Gurafuiかつて"/>
      <sheetName val="更新版"/>
      <sheetName val="ﾃﾞｰﾀ"/>
      <sheetName val="住所録"/>
      <sheetName val="11wG部門ﾗﾝｷﾝｸﾞ"/>
      <sheetName val="得意先実績(LEDｼｰﾘﾝｸﾞ)"/>
      <sheetName val="提供用EXCEL"/>
      <sheetName val="与信一覧 (2)"/>
      <sheetName val="Plan sbA"/>
      <sheetName val="店別納品実績入力"/>
      <sheetName val="昨対"/>
      <sheetName val="什器ﾘｽﾄ(ﾊﾟｰﾂ)"/>
      <sheetName val="提案書"/>
      <sheetName val="好調不調"/>
      <sheetName val="●キャンペーン・企画ヒアリング"/>
      <sheetName val="容量別シェア（年別）　"/>
      <sheetName val="事業部"/>
      <sheetName val="Ｃ’’表"/>
      <sheetName val="shere"/>
      <sheetName val="ｱｸｾｽｸﾞﾗﾌ"/>
      <sheetName val="大_中項目"/>
      <sheetName val="第２章 1.食料品消費支出2"/>
      <sheetName val="Ｃ’’’’表"/>
      <sheetName val="SBプラ鉢"/>
      <sheetName val="バックデータ"/>
      <sheetName val="直送ｺﾝﾃﾅ管理表"/>
      <sheetName val="Plan_sbA"/>
      <sheetName val="与信一覧_(2)"/>
      <sheetName val="00Sheet1"/>
      <sheetName val="表3"/>
      <sheetName val="宛名"/>
      <sheetName val="管理引当金"/>
      <sheetName val="竹四つ目垣"/>
      <sheetName val="登録"/>
      <sheetName val="SPLDAT"/>
      <sheetName val="Ｃ'表"/>
      <sheetName val="リスト"/>
      <sheetName val="図8"/>
      <sheetName val="コクミン"/>
      <sheetName val="key"/>
      <sheetName val="csv"/>
      <sheetName val="　月次報告（数値データ）　"/>
      <sheetName val="ﾘﾁｬｰｼﾞ"/>
      <sheetName val="43"/>
      <sheetName val="与信一覧_(2)1"/>
      <sheetName val="Plan_sbA1"/>
      <sheetName val="第２章_1_食料品消費支出2"/>
      <sheetName val="PAK6263"/>
      <sheetName val="5月"/>
      <sheetName val="データ入力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 refreshError="1"/>
      <sheetData sheetId="64" refreshError="1"/>
      <sheetData sheetId="65" refreshError="1"/>
    </sheetDataSet>
  </externalBook>
</externalLink>
</file>

<file path=xl/externalLinks/externalLink41.xml><?xml version="1.0" encoding="utf-8"?>
<externalLink xmlns:r="http://schemas.openxmlformats.org/officeDocument/2006/relationships" xmlns="http://schemas.openxmlformats.org/spreadsheetml/2006/main">
  <externalBook r:id="rId1">
    <sheetNames>
      <sheetName val="SBプラ鉢"/>
      <sheetName val="97成形C"/>
      <sheetName val="RD9501V"/>
      <sheetName val="Ｃ’表"/>
      <sheetName val="与信一覧 (2)"/>
      <sheetName val="ﾄﾞｯﾄｺﾑ"/>
      <sheetName val="住所録"/>
      <sheetName val="RD9505A"/>
      <sheetName val="ﾆﾚ机"/>
      <sheetName val="鳥栖"/>
      <sheetName val="把手大連バ"/>
      <sheetName val="GSV目標"/>
      <sheetName val="１業種"/>
      <sheetName val="#REF"/>
      <sheetName val="大人12"/>
      <sheetName val="昨対"/>
      <sheetName val="全合計"/>
      <sheetName val="万田酵素モニター"/>
      <sheetName val="PAK6263"/>
      <sheetName val="好調不調"/>
      <sheetName val="Sheet1"/>
      <sheetName val="Sheet2"/>
      <sheetName val="NEW95G2"/>
      <sheetName val="バックデータ"/>
      <sheetName val="5月"/>
      <sheetName val="2000LISTｔｒｕｅ 1117"/>
      <sheetName val="④集計表(調査結果（全体）) (3)"/>
      <sheetName val="43"/>
      <sheetName val="●キャンペーン・企画ヒアリング"/>
      <sheetName val="表3"/>
      <sheetName val="図8"/>
      <sheetName val="13年度発生売上予算"/>
      <sheetName val="集計表"/>
      <sheetName val="CM予定表(～2012年3月）"/>
      <sheetName val="更新版"/>
      <sheetName val="本体バック"/>
      <sheetName val="ﾃﾞｰﾀ"/>
      <sheetName val="Control"/>
      <sheetName val="ST障害管理表"/>
      <sheetName val="11wG部門ﾗﾝｷﾝｸﾞ"/>
      <sheetName val="ｱｸｾｽｸﾞﾗﾌ"/>
      <sheetName val="Sheet3"/>
      <sheetName val="52wG部門ﾗﾝｷﾝｸﾞ"/>
      <sheetName val="ｷﾞﾌﾄ"/>
      <sheetName val="1"/>
      <sheetName val="ｱﾐｸﾚｰﾑ"/>
      <sheetName val="社外秘；HCﾋﾞｼﾞﾈｽﾁｬﾝｽ"/>
      <sheetName val="竹四つ目垣"/>
      <sheetName val="97成形C.XLS"/>
      <sheetName val="97%E6%88%90%E5%BD%A2C.XLS"/>
      <sheetName val="全件リスト"/>
      <sheetName val="A"/>
      <sheetName val="HQ"/>
      <sheetName val="shere"/>
      <sheetName val="011101"/>
      <sheetName val="管理引当金"/>
      <sheetName val="目次"/>
      <sheetName val="品種"/>
      <sheetName val="spot金額"/>
      <sheetName val="BAB"/>
      <sheetName val="全社按分比  "/>
      <sheetName val="与信一覧_(2)"/>
      <sheetName val="工事予算書"/>
      <sheetName val="支社・ブロック別"/>
      <sheetName val="１１月"/>
      <sheetName val="クレジット決済"/>
      <sheetName val="検索③"/>
      <sheetName val="宛名"/>
      <sheetName val="②仙台"/>
      <sheetName val="①器具製作実績グラフ"/>
      <sheetName val="Ｃ’’表"/>
      <sheetName val="Footwork"/>
      <sheetName val="データ入力"/>
      <sheetName val="200504"/>
      <sheetName val="200504SSイン"/>
      <sheetName val="200504SS直営"/>
      <sheetName val="200505"/>
      <sheetName val="200505SSイン"/>
      <sheetName val="200505SS直営"/>
      <sheetName val="200506"/>
      <sheetName val="200506SSイン"/>
      <sheetName val="200506SS直営"/>
      <sheetName val="200507"/>
      <sheetName val="200507SSイン"/>
      <sheetName val="200507SS直営"/>
      <sheetName val="200508"/>
      <sheetName val="200508SSイン"/>
      <sheetName val="200508SS直営"/>
      <sheetName val="賞与･年収"/>
      <sheetName val="SKU_31"/>
      <sheetName val="Plan sbA"/>
      <sheetName val="集計フォーム"/>
      <sheetName val="第２章 1.食料品消費支出2"/>
      <sheetName val="Sheet1 (2)"/>
      <sheetName val="データ"/>
      <sheetName val="日付"/>
      <sheetName val="別紙明細"/>
      <sheetName val="12月"/>
      <sheetName val="１．社内ﾈｯﾄﾜｰｸﾊｰﾄﾞｳｪｱ"/>
      <sheetName val="６．要員計画"/>
      <sheetName val="2000LISTｔｒｕｅ_1117"/>
      <sheetName val="④集計表(調査結果（全体）)_(3)"/>
      <sheetName val="全社按分比__"/>
      <sheetName val="Plan_sbA"/>
      <sheetName val="第２章_1_食料品消費支出2"/>
      <sheetName val="shtBuff"/>
      <sheetName val="99年予算"/>
      <sheetName val="ディックＤ"/>
      <sheetName val="フジＤ"/>
      <sheetName val="事Ｄ"/>
      <sheetName val="harima"/>
      <sheetName val="sugi"/>
      <sheetName val="para"/>
      <sheetName val="06.05"/>
      <sheetName val="06.05イン"/>
      <sheetName val="06.05直営"/>
      <sheetName val="ﾃﾚｺTｼｬﾂ"/>
      <sheetName val="2000LISTｔｒｕｅ_11171"/>
      <sheetName val="全社按分比__1"/>
      <sheetName val="与信一覧_(2)1"/>
      <sheetName val="④集計表(調査結果（全体）)_(3)1"/>
      <sheetName val="Plan_sbA1"/>
      <sheetName val="第２章_1_食料品消費支出21"/>
      <sheetName val="97成形C_XLS"/>
      <sheetName val="97%E6%88%90%E5%BD%A2C_XLS"/>
      <sheetName val="Sheet1_(2)"/>
      <sheetName val="　月次報告（数値データ）　"/>
      <sheetName val="欄外"/>
      <sheetName val="提出用EXCEL"/>
      <sheetName val="サイドネット展開"/>
      <sheetName val="日別予算"/>
      <sheetName val="ヤマヒサ明細"/>
      <sheetName val="原紙"/>
      <sheetName val="仕入計画AI8月"/>
      <sheetName val="品質表示②"/>
      <sheetName val="品質表示①"/>
      <sheetName val="Ｃ'表"/>
      <sheetName val="06_05"/>
      <sheetName val="06_05イン"/>
      <sheetName val="06_05直営"/>
      <sheetName val="⑤弁当"/>
      <sheetName val="与信一覧_(2)2"/>
      <sheetName val="2000LISTｔｒｕｅ_11172"/>
      <sheetName val="④集計表(調査結果（全体）)_(3)2"/>
      <sheetName val="97成形C_XLS1"/>
      <sheetName val="97%E6%88%90%E5%BD%A2C_XLS1"/>
      <sheetName val="全社按分比__2"/>
      <sheetName val="Plan_sbA2"/>
      <sheetName val="第２章_1_食料品消費支出22"/>
      <sheetName val="Sheet1_(2)1"/>
      <sheetName val="プロモ期日管理表"/>
      <sheetName val="06_051"/>
      <sheetName val="06_05イン1"/>
      <sheetName val="06_05直営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/>
      <sheetData sheetId="152"/>
      <sheetData sheetId="153"/>
    </sheetDataSet>
  </externalBook>
</externalLink>
</file>

<file path=xl/externalLinks/externalLink42.xml><?xml version="1.0" encoding="utf-8"?>
<externalLink xmlns:r="http://schemas.openxmlformats.org/officeDocument/2006/relationships" xmlns="http://schemas.openxmlformats.org/spreadsheetml/2006/main">
  <externalBook r:id="rId1">
    <sheetNames>
      <sheetName val="実績【全体】"/>
      <sheetName val="経費計画 (2015年)"/>
      <sheetName val="①設計実績グラフ"/>
      <sheetName val="②仙台"/>
      <sheetName val="③東京"/>
      <sheetName val="④大阪"/>
      <sheetName val="⑤設計費用明細"/>
      <sheetName val="⑧あかりプラン"/>
      <sheetName val="①器具製作実績グラフ"/>
      <sheetName val="①大連業務移管"/>
      <sheetName val="Sheet1"/>
      <sheetName val="⑥スペックイングラフ"/>
      <sheetName val="⑦スペックイン明細"/>
      <sheetName val="⑤受注実績"/>
      <sheetName val="2月経費率"/>
      <sheetName val="⑨あかりプラン明細"/>
      <sheetName val="③建装_スケジュール管理表"/>
      <sheetName val="【2015年3月度月次会議】設計チーム売上実績&amp;グラフ_030"/>
      <sheetName val="昨対"/>
      <sheetName val="竹四つ目垣"/>
      <sheetName val="CM予定表(～2012年3月）"/>
      <sheetName val="RD9501V"/>
      <sheetName val="#REF"/>
      <sheetName val="1"/>
      <sheetName val="通常発注書"/>
      <sheetName val="para"/>
      <sheetName val="第２章 1.食料品消費支出2"/>
      <sheetName val="累計出荷実績"/>
      <sheetName val="7_hashihara13"/>
      <sheetName val="5_hashihara13"/>
      <sheetName val="13年度発生売上予算"/>
      <sheetName val="与信一覧 (2)"/>
      <sheetName val="Sheet2"/>
      <sheetName val="ﾄﾞｯﾄｺﾑ"/>
      <sheetName val="入金実96"/>
      <sheetName val="支給品一覧表"/>
      <sheetName val="P1実績①"/>
      <sheetName val="単価は最低納価使用"/>
      <sheetName val="社外秘；HCﾋﾞｼﾞﾈｽﾁｬﾝｽ"/>
      <sheetName val="RD9505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3.xml><?xml version="1.0" encoding="utf-8"?>
<externalLink xmlns:r="http://schemas.openxmlformats.org/officeDocument/2006/relationships" xmlns="http://schemas.openxmlformats.org/spreadsheetml/2006/main">
  <externalBook r:id="rId1">
    <sheetNames>
      <sheetName val="5月"/>
      <sheetName val="DATA"/>
      <sheetName val="表3"/>
      <sheetName val="図8"/>
      <sheetName val="竹四つ目垣"/>
      <sheetName val="管理引当金"/>
      <sheetName val="昨対"/>
      <sheetName val="分類"/>
      <sheetName val="SBプラ鉢"/>
      <sheetName val="RD9501V"/>
      <sheetName val="#REF"/>
      <sheetName val="行楽ﾌｪｱ"/>
      <sheetName val="涼味"/>
      <sheetName val="センター費"/>
      <sheetName val="Sheet1"/>
      <sheetName val="8以上社員"/>
      <sheetName val="上代別実績"/>
      <sheetName val="SEIｶﾗｰ"/>
      <sheetName val="配荷"/>
      <sheetName val="ｷﾞﾌﾄ"/>
      <sheetName val="ﾄﾞｯﾄｺﾑ"/>
      <sheetName val="RD9505A"/>
      <sheetName val="住所録"/>
      <sheetName val="経費FMT 管理科目"/>
      <sheetName val="園芸改定"/>
      <sheetName val="NEW95G2"/>
      <sheetName val="万田酵素モニター"/>
      <sheetName val="Ｃ’表"/>
      <sheetName val="好調不調"/>
      <sheetName val="1"/>
      <sheetName val="ｵｰﾀﾞｰ"/>
      <sheetName val="Ｃ’’表"/>
      <sheetName val="全合計"/>
      <sheetName val="注文書"/>
      <sheetName val="全集計"/>
      <sheetName val="宛名"/>
      <sheetName val="管理用ﾃﾞｰﾀｰ（入）"/>
      <sheetName val="鳥栖"/>
      <sheetName val="与信一覧 (2)"/>
      <sheetName val="更新版"/>
      <sheetName val="ｱｸｾｽｸﾞﾗﾌ"/>
      <sheetName val="検査結果一覧(日本受入)"/>
      <sheetName val="全件リスト"/>
      <sheetName val="契約上棟ｸﾞﾗﾌ"/>
      <sheetName val="5-6月キャンペーン"/>
      <sheetName val="こたつ競合比較"/>
      <sheetName val="G5"/>
      <sheetName val="地域B"/>
      <sheetName val="実績"/>
      <sheetName val="昨年度"/>
      <sheetName val="予算"/>
      <sheetName val="仕様一覧表"/>
      <sheetName val="経費FMT_管理科目"/>
      <sheetName val="与信一覧_(2)"/>
      <sheetName val="リスト"/>
      <sheetName val="PAK6263"/>
      <sheetName val="BAB"/>
      <sheetName val="本体バック"/>
      <sheetName val="43"/>
      <sheetName val="手順①追加修正連絡票"/>
      <sheetName val="今期）予算"/>
      <sheetName val="昨年）実績"/>
      <sheetName val="GSV目標"/>
      <sheetName val="把手大連バ"/>
      <sheetName val="Hidden"/>
      <sheetName val="比較表"/>
      <sheetName val="shere"/>
      <sheetName val="不使用者"/>
      <sheetName val="入力リスト"/>
      <sheetName val="部門別計画表"/>
      <sheetName val="店長週報"/>
      <sheetName val="CM予定表(～2012年3月）"/>
      <sheetName val="規格書"/>
      <sheetName val="⑤弁当"/>
      <sheetName val="041(茶） "/>
      <sheetName val="データ入力"/>
      <sheetName val="SC入替"/>
      <sheetName val="大人12"/>
      <sheetName val="P1実績①"/>
      <sheetName val="harima"/>
      <sheetName val="sugi"/>
      <sheetName val="受取配当金"/>
      <sheetName val="1_hashihara15"/>
      <sheetName val="9_hashihara15"/>
      <sheetName val="損益計算書"/>
      <sheetName val="契約状況一覧"/>
      <sheetName val="#REF!"/>
      <sheetName val="0310"/>
      <sheetName val="A"/>
      <sheetName val="経費FMT_管理科目1"/>
      <sheetName val="与信一覧_(2)1"/>
      <sheetName val="041(茶）_"/>
      <sheetName val="H9.1"/>
      <sheetName val="おでん"/>
      <sheetName val="管理引当"/>
      <sheetName val="Plan sbA"/>
      <sheetName val="Control"/>
      <sheetName val="10.20-11.12"/>
      <sheetName val="家電仕入れデータ"/>
      <sheetName val="入力"/>
      <sheetName val="11.その他有報作成資料"/>
      <sheetName val="業態"/>
      <sheetName val="250品種別週間売上"/>
      <sheetName val="生人台帳"/>
      <sheetName val="表紙"/>
      <sheetName val="累計出荷実績"/>
      <sheetName val="M'S"/>
      <sheetName val="Sheet4"/>
      <sheetName val="貼付画面1"/>
      <sheetName val="貼付画面2"/>
      <sheetName val="POP製作Ｂ"/>
      <sheetName val="PＯＰ制作Ａ新"/>
      <sheetName val="_REF"/>
      <sheetName val="Ｐ１５"/>
      <sheetName val="ダンジ"/>
      <sheetName val="人口移動第４表"/>
      <sheetName val="Sheet2"/>
      <sheetName val="②仙台"/>
      <sheetName val="①器具製作実績グラフ"/>
      <sheetName val="月特"/>
      <sheetName val="部材表"/>
      <sheetName val="3_hashihara48"/>
      <sheetName val="受注残管理表"/>
      <sheetName val="店舗一覧"/>
      <sheetName val="ﾁﾗｼ"/>
      <sheetName val="商品台帳"/>
      <sheetName val="改廃一覧社外秘"/>
      <sheetName val="設定画面"/>
      <sheetName val="CVS実績97"/>
      <sheetName val="台帳"/>
      <sheetName val="商品ﾏｽﾀｰ(7月2日)"/>
      <sheetName val="ﾃﾞｰﾀ"/>
      <sheetName val="プラワースト "/>
      <sheetName val="予算・過去実績"/>
      <sheetName val="マスター"/>
      <sheetName val="商品一覧表"/>
      <sheetName val="貼付画面T"/>
      <sheetName val="ＨＫ品名実績"/>
      <sheetName val="振替２(１月)"/>
      <sheetName val="データ作成シート"/>
      <sheetName val="11年度発生売上予算提出書類"/>
      <sheetName val="回答電話番号リスト"/>
      <sheetName val="データー"/>
      <sheetName val="JAN検索結果"/>
      <sheetName val="新ﾗｲﾝ(部品展開)"/>
      <sheetName val="ｲﾎﾞ竹販売数調整"/>
      <sheetName val="ﾘﾍﾞｰﾄﾗﾝｸ2000"/>
      <sheetName val="現状評価"/>
      <sheetName val="Ｃ実績①"/>
      <sheetName val="経費FMT_管理科目2"/>
      <sheetName val="与信一覧_(2)2"/>
      <sheetName val="041(茶）_1"/>
      <sheetName val="Plan_sbA"/>
      <sheetName val="H9_1"/>
      <sheetName val="10_20-11_12"/>
      <sheetName val="11_その他有報作成資料"/>
      <sheetName val="プラワースト_"/>
      <sheetName val="外注トライ"/>
      <sheetName val="実績TB"/>
      <sheetName val="関東データ"/>
      <sheetName val="北空貼"/>
      <sheetName val="Ｃ'表"/>
      <sheetName val="工事予算書"/>
      <sheetName val="日配マスター"/>
      <sheetName val="着工シェア"/>
      <sheetName val="分析基礎 (2)"/>
      <sheetName val="個数単価推移２００１"/>
      <sheetName val="key"/>
      <sheetName val="csv"/>
      <sheetName val="品種別計画表〈予算）"/>
      <sheetName val="業務依頼書"/>
      <sheetName val="CAL"/>
      <sheetName val="094"/>
      <sheetName val="領収書"/>
      <sheetName val="編集用シート"/>
      <sheetName val="バックデータ"/>
      <sheetName val="ﾃﾚｺTｼｬﾂ"/>
      <sheetName val="HQ"/>
      <sheetName val="13年度発生売上予算"/>
      <sheetName val="中部支店対策企業一覧"/>
      <sheetName val="経費FMT_管理科目3"/>
      <sheetName val="与信一覧_(2)3"/>
      <sheetName val="041(茶）_2"/>
      <sheetName val="H9_11"/>
      <sheetName val="Plan_sbA1"/>
      <sheetName val="10_20-11_121"/>
      <sheetName val="11_その他有報作成資料1"/>
      <sheetName val="プラワースト_1"/>
      <sheetName val="分析基礎_(2)"/>
      <sheetName val="１業種"/>
      <sheetName val="ＬＴ"/>
      <sheetName val="master"/>
      <sheetName val="全件反映リスト"/>
      <sheetName val="02実績①"/>
      <sheetName val="02実績②"/>
      <sheetName val="02実績③"/>
      <sheetName val="01昨年①"/>
      <sheetName val="01昨年②"/>
      <sheetName val="01昨年③"/>
      <sheetName val="抽出条件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44.xml><?xml version="1.0" encoding="utf-8"?>
<externalLink xmlns:r="http://schemas.openxmlformats.org/officeDocument/2006/relationships" xmlns="http://schemas.openxmlformats.org/spreadsheetml/2006/main">
  <externalBook r:id="rId1">
    <sheetNames>
      <sheetName val="ｶﾞｰﾃﾞﾝ部門"/>
      <sheetName val="12W予想"/>
      <sheetName val="ｶﾞｰﾃﾞﾝ①"/>
      <sheetName val="ﾌﾟﾗﾝﾀｰ3期ｸﾞﾗﾌ"/>
      <sheetName val="鉢3期ｸﾞﾗﾌ"/>
      <sheetName val="壁掛・ﾊﾝｷﾞﾝｸﾞ3期ｸﾞﾗﾌ"/>
      <sheetName val="ﾎｰｽﾘｰﾙ3期ｸﾞﾗﾌ"/>
      <sheetName val="噴霧器3期ｸﾞﾗﾌ"/>
      <sheetName val="園芸機械3期ｸﾞﾗﾌ"/>
      <sheetName val="ｶﾞｰﾃﾞﾝ②"/>
      <sheetName val="ﾗﾃｨｽ3期ｸﾞﾗﾌ"/>
      <sheetName val="ﾗﾃｨｽ部品3期ｸﾞﾗﾌ"/>
      <sheetName val="除雪用品3期ｸﾞﾗﾌ"/>
      <sheetName val="11w実績ｽﾄｶﾊﾞ"/>
      <sheetName val="11wG部門ﾗﾝｷﾝｸﾞ"/>
      <sheetName val="G11w鉢・受皿"/>
      <sheetName val="受皿3期ｸﾞﾗﾌ"/>
      <sheetName val="木製ﾃﾞｯｷ3期ｸﾞﾗﾌ"/>
      <sheetName val="ﾌｪﾝｽ・連杭3期ｸﾞﾗﾌ"/>
      <sheetName val="ｱｰﾁ･ﾃﾞｺﾚｰｼｮﾝ3期ｸﾞﾗﾌ"/>
      <sheetName val="庭園灯3期ｸﾞﾗﾌ"/>
      <sheetName val="ﾌﾟﾗﾝﾀｽﾀﾝﾄﾞ3期ｸﾞﾗﾌ"/>
      <sheetName val="培養土3期ｸﾞﾗﾌ"/>
      <sheetName val="小袋培養土3期ｸﾞﾗﾌ"/>
      <sheetName val="大袋培養土3期ｸﾞﾗﾌ"/>
      <sheetName val="ﾊｲﾄﾞﾛ"/>
      <sheetName val="ﾌﾟﾗﾝﾀｰ"/>
      <sheetName val="鉢"/>
      <sheetName val="壁掛け"/>
      <sheetName val="ﾊﾟｰﾑWﾎﾟｯﾄ"/>
      <sheetName val="ﾊﾝｷﾞﾝｸﾞﾊﾞｽｹｯﾄ"/>
      <sheetName val="ﾊｲﾊﾟｰﾘｰﾙ20MG"/>
      <sheetName val="ﾊｲﾊﾟｰﾘｰﾙ30MG"/>
      <sheetName val="散水ﾊﾟｰﾂ"/>
      <sheetName val="噴霧器"/>
      <sheetName val="ﾗﾃｨｽ枠付着色Br"/>
      <sheetName val="ﾗﾃｨｽ部品"/>
      <sheetName val="ﾗﾃｨｽﾎﾟｽﾄ850"/>
      <sheetName val="ﾗﾃｨｽﾎﾟｽﾄ1150"/>
      <sheetName val="ﾗﾃｨｽﾎﾟｽﾄ1500"/>
      <sheetName val="ﾗﾃｨｽﾎﾟｽﾄ1800"/>
      <sheetName val="ﾗﾃｨｽﾎﾟｽﾄ2100"/>
      <sheetName val="木製ﾃﾞｯｷ"/>
      <sheetName val="ｳｯﾄﾞﾌｪﾝｽ"/>
      <sheetName val="連杭"/>
      <sheetName val="庭園灯"/>
      <sheetName val="腐葉土"/>
      <sheetName val="ﾎﾞｰﾙﾌﾟﾗﾝﾀｰｽﾀﾝﾄﾞBPE"/>
      <sheetName val="5L培養土"/>
      <sheetName val="直送大袋"/>
      <sheetName val="ﾊｲﾄﾞﾛ (2)"/>
      <sheetName val="ストカバ推移"/>
      <sheetName val="ﾊｲﾄﾞﾛ_(2)"/>
      <sheetName val="ﾊｲﾄﾞﾛ_(2)1"/>
      <sheetName val="ﾊｲﾄﾞﾛ_(2)2"/>
      <sheetName val="5月"/>
      <sheetName val="ﾊｲﾄﾞﾛ_(2)3"/>
      <sheetName val="全合計"/>
      <sheetName val="昨対"/>
      <sheetName val="NEW95G2"/>
      <sheetName val="Ｃ’表"/>
      <sheetName val="（予備）2015構想"/>
      <sheetName val="更新版"/>
      <sheetName val="RD9501V"/>
      <sheetName val="ﾃﾚｺTｼｬﾂ"/>
      <sheetName val="データ入力"/>
      <sheetName val="ｱｸｾｽｸﾞﾗﾌ"/>
      <sheetName val="g0211w"/>
      <sheetName val="SBプラ鉢"/>
      <sheetName val="収納・インテ"/>
      <sheetName val="HQ"/>
      <sheetName val="ﾊｲﾄﾞﾛ_(2)4"/>
      <sheetName val="管理引当金"/>
      <sheetName val="ウスイ様試算書"/>
      <sheetName val="GSV目標"/>
      <sheetName val="#REF"/>
      <sheetName val="社外秘；HCﾋﾞｼﾞﾈｽﾁｬﾝｽ"/>
      <sheetName val="ｷﾞﾌﾄ"/>
      <sheetName val="10.20-11.12"/>
      <sheetName val="好調不調"/>
      <sheetName val="個数単価推移２００１"/>
      <sheetName val="品種"/>
      <sheetName val="g0211w.xls"/>
      <sheetName val="46WG部門ﾗﾝｷﾝｸﾞ"/>
      <sheetName val="部門別計画"/>
      <sheetName val="表3"/>
      <sheetName val="図8"/>
      <sheetName val="shere"/>
      <sheetName val="リスト"/>
      <sheetName val="ﾃﾞｰﾀ"/>
      <sheetName val="ﾄﾞｯﾄｺﾑ"/>
      <sheetName val="外注トライ"/>
      <sheetName val="原紙"/>
      <sheetName val="ﾊｲﾄﾞﾛ_(2)5"/>
      <sheetName val="10_20-11_12"/>
      <sheetName val="g0211w_xls"/>
      <sheetName val="03月入力用"/>
      <sheetName val="消すな！"/>
      <sheetName val="商品ﾏｽﾀｰ(1月25日)"/>
      <sheetName val="什器ﾘｽﾄ(ﾊﾟｰﾂ)"/>
      <sheetName val="部門別計画表"/>
      <sheetName val="商品"/>
      <sheetName val="回答電話番号リスト"/>
      <sheetName val="13年度発生売上予算"/>
      <sheetName val="品種別計画表〈予算）"/>
      <sheetName val="入力リスト"/>
      <sheetName val="本体バック"/>
      <sheetName val="領収書"/>
      <sheetName val="住所録"/>
      <sheetName val="編集用シート"/>
      <sheetName val="品群"/>
      <sheetName val="提供用EXCEL"/>
      <sheetName val="第２章 1.食料品消費支出2"/>
      <sheetName val="HE(他）"/>
      <sheetName val="ﾊｲﾄﾞﾛ_(2)6"/>
      <sheetName val="10_20-11_121"/>
      <sheetName val="g0211w_xls1"/>
      <sheetName val="RD9505A"/>
      <sheetName val="バックデータ"/>
      <sheetName val="2001歳暮全マスタ原紙"/>
      <sheetName val="A8"/>
      <sheetName val="094"/>
      <sheetName val="対象製品"/>
      <sheetName val="SDMCH"/>
      <sheetName val="選択内容1"/>
      <sheetName val="選択内容２"/>
      <sheetName val="43"/>
      <sheetName val="店ｺｰﾄﾞ一覧表"/>
      <sheetName val="区分値"/>
      <sheetName val="環境設計課名簿"/>
      <sheetName val="ﾘﾁｬｰｼﾞ"/>
      <sheetName val="ﾘﾍﾞｰﾄﾗﾝｸ2000"/>
      <sheetName val="月別販売シェア"/>
      <sheetName val="01群別計画"/>
      <sheetName val="ｶﾃｺﾞﾘｰ月別ｼｪｱ"/>
      <sheetName val="ｶﾃｺﾞﾘｰｼｪｱ"/>
      <sheetName val="利益貢献度"/>
      <sheetName val="00ﾃﾞｰﾀｶﾃｺﾞﾘ"/>
      <sheetName val="商品一覧"/>
      <sheetName val="SKU_31"/>
      <sheetName val="竹四つ目垣"/>
      <sheetName val="LIST"/>
      <sheetName val="Sheet2"/>
      <sheetName val="賞与･年収"/>
      <sheetName val="店在一覧"/>
      <sheetName val="日別予算"/>
      <sheetName val="Control"/>
      <sheetName val="POP-YMDMH-ARI040930-1"/>
      <sheetName val="log"/>
      <sheetName val="６　実現機能一覧"/>
    </sheetNames>
    <sheetDataSet>
      <sheetData sheetId="0">
        <row r="1">
          <cell r="AD1" t="str">
            <v xml:space="preserve">    作成日 2002/03/17 13:03</v>
          </cell>
        </row>
      </sheetData>
      <sheetData sheetId="1">
        <row r="1">
          <cell r="AD1" t="str">
            <v xml:space="preserve">    作成日 2002/03/17 13:03</v>
          </cell>
        </row>
      </sheetData>
      <sheetData sheetId="2">
        <row r="1">
          <cell r="AD1" t="str">
            <v xml:space="preserve">    作成日 2002/03/17 13:03</v>
          </cell>
        </row>
      </sheetData>
      <sheetData sheetId="3">
        <row r="1">
          <cell r="AD1" t="str">
            <v xml:space="preserve">    作成日 2002/03/17 13:03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D1" t="str">
            <v xml:space="preserve">    作成日 2002/03/17 13:03</v>
          </cell>
        </row>
      </sheetData>
      <sheetData sheetId="13">
        <row r="1">
          <cell r="AD1" t="str">
            <v xml:space="preserve">    作成日 2002/03/17 13:03</v>
          </cell>
        </row>
      </sheetData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45.xml><?xml version="1.0" encoding="utf-8"?>
<externalLink xmlns:r="http://schemas.openxmlformats.org/officeDocument/2006/relationships" xmlns="http://schemas.openxmlformats.org/spreadsheetml/2006/main">
  <externalBook r:id="rId1">
    <sheetNames>
      <sheetName val="備品"/>
      <sheetName val="RD9501V"/>
      <sheetName val="RD9505A"/>
      <sheetName val="昨対"/>
      <sheetName val="#REF"/>
      <sheetName val="11wG部門ﾗﾝｷﾝｸﾞ"/>
      <sheetName val="5月"/>
      <sheetName val="社外秘；HCﾋﾞｼﾞﾈｽﾁｬﾝｽ"/>
      <sheetName val="全合計"/>
      <sheetName val="NEW95G2"/>
      <sheetName val="ﾄﾞｯﾄｺﾑ"/>
      <sheetName val="ｱｸｾｽｸﾞﾗﾌ"/>
      <sheetName val="竹四つ目垣"/>
      <sheetName val="更新版"/>
      <sheetName val="SKU_31"/>
      <sheetName val="Ｃ’表"/>
      <sheetName val="表3"/>
      <sheetName val="図8"/>
      <sheetName val="_REF"/>
      <sheetName val="#REF!"/>
      <sheetName val="H9.1"/>
      <sheetName val="シート1"/>
      <sheetName val="シート2"/>
      <sheetName val="H9_1"/>
      <sheetName val="おでん"/>
      <sheetName val="人口移動第４表"/>
      <sheetName val="リスト"/>
      <sheetName val="累計出荷実績"/>
      <sheetName val="バックデータ"/>
      <sheetName val="実績・予測"/>
      <sheetName val="通常発注書"/>
      <sheetName val="Sheet1 (2)"/>
      <sheetName val="Plan sbA"/>
      <sheetName val="ﾃﾞｰﾀ"/>
      <sheetName val="◎_OL10他業務用酒販店（ｾｸﾞD除き）"/>
      <sheetName val="与信一覧 (2)"/>
      <sheetName val="SBプラ鉢"/>
      <sheetName val="购入商品刘 "/>
      <sheetName val="购入商品孙"/>
      <sheetName val="危"/>
      <sheetName val="1405003出口商品关联表"/>
      <sheetName val="ｵｰﾀﾞｰ"/>
      <sheetName val="単価は最低納価使用"/>
      <sheetName val="見積書"/>
      <sheetName val="経費"/>
      <sheetName val="HQ"/>
      <sheetName val="資金繰計画表"/>
      <sheetName val="ｱﾐｸﾚｰﾑ"/>
      <sheetName val="H9_11"/>
      <sheetName val="Sheet1_(2)"/>
      <sheetName val="A"/>
      <sheetName val="健康ﾌｪｱ外注(ﾌﾞﾛｯｸ)"/>
      <sheetName val="43"/>
      <sheetName val="シンプルスタイル商品台帳"/>
      <sheetName val="与信一覧_(2)"/>
      <sheetName val="Plan_sbA"/>
      <sheetName val="购入商品刘_"/>
      <sheetName val="０５３合計"/>
      <sheetName val="ラックEXPO"/>
      <sheetName val="検査結果一覧(日本受入)"/>
      <sheetName val="para"/>
      <sheetName val="住所録"/>
      <sheetName val="イレブン"/>
      <sheetName val="与信ｵｰﾊﾞｰ"/>
      <sheetName val="比較ヘッダー"/>
      <sheetName val="営業所８"/>
      <sheetName val="別紙明細"/>
      <sheetName val="リスト用"/>
      <sheetName val="商品"/>
      <sheetName val="把手大連バ"/>
      <sheetName val="入力シート"/>
      <sheetName val="大人12"/>
      <sheetName val="管理引当金"/>
      <sheetName val="1"/>
      <sheetName val="Sheet2"/>
      <sheetName val="shere"/>
      <sheetName val="PAK6263"/>
      <sheetName val="graph"/>
      <sheetName val="図面(富田豊田) (2)"/>
      <sheetName val="H9_12"/>
      <sheetName val="Sheet1_(2)1"/>
      <sheetName val="与信一覧_(2)1"/>
      <sheetName val="Plan_sbA1"/>
      <sheetName val="购入商品刘_1"/>
      <sheetName val="(Monthly)"/>
      <sheetName val="サマリ"/>
      <sheetName val="Sheet5"/>
      <sheetName val="Sheet6"/>
      <sheetName val="Sheet7"/>
      <sheetName val="Sheet8"/>
      <sheetName val="Sheet9"/>
      <sheetName val="2000LISTｔｒｕｅ 1117"/>
      <sheetName val="与信管理帳合"/>
      <sheetName val="Wﾁｪｯｸ表"/>
      <sheetName val="レイアウト一覧"/>
      <sheetName val="shtBuff"/>
      <sheetName val="生人台帳"/>
      <sheetName val="振替２(１月)"/>
      <sheetName val="Ｋ　１０店"/>
      <sheetName val="7_hashihara13"/>
      <sheetName val="5_hashihara13"/>
      <sheetName val="H9_13"/>
      <sheetName val="Sheet1_(2)2"/>
      <sheetName val="购入商品刘_2"/>
      <sheetName val="Plan_sbA2"/>
      <sheetName val="与信一覧_(2)2"/>
      <sheetName val="図面(富田豊田)_(2)"/>
      <sheetName val="CP在庫"/>
      <sheetName val="マスター"/>
      <sheetName val="品切・品薄情報ﾏｽﾀｰ"/>
      <sheetName val="荷姿"/>
      <sheetName val="販売目標"/>
      <sheetName val="数値 (婦人)"/>
      <sheetName val="Sheet1"/>
      <sheetName val="Bloomberg"/>
      <sheetName val="data"/>
      <sheetName val="4_hashihara04"/>
      <sheetName val="XREF"/>
      <sheetName val="０５"/>
      <sheetName val="ｷｬﾗｸﾀｰｺｰﾄﾞ一覧 (2)"/>
      <sheetName val="銘柄７（浸透ﾗﾝｸ）"/>
      <sheetName val="Master"/>
      <sheetName val="5-6月キャンペーン"/>
      <sheetName val="新Ｍ別"/>
      <sheetName val="3"/>
      <sheetName val="APPLE"/>
      <sheetName val="Chomonicx店舗プロット"/>
      <sheetName val="⑤弁当"/>
      <sheetName val="年間１"/>
      <sheetName val="年間１ (2)"/>
      <sheetName val="全社按分比  "/>
      <sheetName val="GMS"/>
      <sheetName val="Macro Codes"/>
      <sheetName val="Input"/>
      <sheetName val="ｼﾞｬｽｺ商報"/>
      <sheetName val="フロー"/>
      <sheetName val="元データー"/>
      <sheetName val="限定特価商品案内"/>
      <sheetName val="ﾌﾟﾚｾﾞﾝ資"/>
      <sheetName val="個数単価推移２００１"/>
      <sheetName val="日配マスター"/>
      <sheetName val="管理引当"/>
      <sheetName val="コード"/>
      <sheetName val="SEIｶﾗｰ"/>
      <sheetName val="報告書 (2)"/>
      <sheetName val="H9_14"/>
      <sheetName val="Sheet1_(2)3"/>
      <sheetName val="与信一覧_(2)3"/>
      <sheetName val="Plan_sbA3"/>
      <sheetName val="购入商品刘_3"/>
      <sheetName val="図面(富田豊田)_(2)1"/>
      <sheetName val="2000LISTｔｒｕｅ_1117"/>
      <sheetName val="数値_(婦人)"/>
      <sheetName val="ｷｬﾗｸﾀｰｺｰﾄﾞ一覧_(2)"/>
      <sheetName val="年間１_(2)"/>
      <sheetName val="全社按分比__"/>
      <sheetName val="Macro_Codes"/>
      <sheetName val="美菱冷蔵庫"/>
      <sheetName val=""/>
      <sheetName val="46WG部門ﾗﾝｷﾝｸﾞ"/>
      <sheetName val="ヘッダ"/>
      <sheetName val="CM予定表(～2012年3月）"/>
      <sheetName val="【入力】20130301"/>
      <sheetName val="ページスコア (2)"/>
      <sheetName val="H9_18"/>
      <sheetName val="Sheet1_(2)7"/>
      <sheetName val="与信一覧_(2)7"/>
      <sheetName val="Plan_sbA7"/>
      <sheetName val="购入商品刘_7"/>
      <sheetName val="図面(富田豊田)_(2)5"/>
      <sheetName val="2000LISTｔｒｕｅ_11174"/>
      <sheetName val="数値_(婦人)4"/>
      <sheetName val="ｷｬﾗｸﾀｰｺｰﾄﾞ一覧_(2)4"/>
      <sheetName val="年間１_(2)4"/>
      <sheetName val="全社按分比__4"/>
      <sheetName val="Macro_Codes4"/>
      <sheetName val="報告書_(2)3"/>
      <sheetName val="H9_15"/>
      <sheetName val="Sheet1_(2)4"/>
      <sheetName val="与信一覧_(2)4"/>
      <sheetName val="Plan_sbA4"/>
      <sheetName val="购入商品刘_4"/>
      <sheetName val="図面(富田豊田)_(2)2"/>
      <sheetName val="2000LISTｔｒｕｅ_11171"/>
      <sheetName val="数値_(婦人)1"/>
      <sheetName val="ｷｬﾗｸﾀｰｺｰﾄﾞ一覧_(2)1"/>
      <sheetName val="年間１_(2)1"/>
      <sheetName val="全社按分比__1"/>
      <sheetName val="Macro_Codes1"/>
      <sheetName val="報告書_(2)"/>
      <sheetName val="H9_16"/>
      <sheetName val="Sheet1_(2)5"/>
      <sheetName val="与信一覧_(2)5"/>
      <sheetName val="Plan_sbA5"/>
      <sheetName val="购入商品刘_5"/>
      <sheetName val="図面(富田豊田)_(2)3"/>
      <sheetName val="2000LISTｔｒｕｅ_11172"/>
      <sheetName val="数値_(婦人)2"/>
      <sheetName val="ｷｬﾗｸﾀｰｺｰﾄﾞ一覧_(2)2"/>
      <sheetName val="年間１_(2)2"/>
      <sheetName val="全社按分比__2"/>
      <sheetName val="Macro_Codes2"/>
      <sheetName val="報告書_(2)1"/>
      <sheetName val="H9_17"/>
      <sheetName val="Sheet1_(2)6"/>
      <sheetName val="与信一覧_(2)6"/>
      <sheetName val="Plan_sbA6"/>
      <sheetName val="购入商品刘_6"/>
      <sheetName val="図面(富田豊田)_(2)4"/>
      <sheetName val="2000LISTｔｒｕｅ_11173"/>
      <sheetName val="数値_(婦人)3"/>
      <sheetName val="ｷｬﾗｸﾀｰｺｰﾄﾞ一覧_(2)3"/>
      <sheetName val="年間１_(2)3"/>
      <sheetName val="全社按分比__3"/>
      <sheetName val="Macro_Codes3"/>
      <sheetName val="報告書_(2)2"/>
      <sheetName val="窓枠ｾｯﾄR"/>
      <sheetName val="GSV目標"/>
      <sheetName val="13年度発生売上予算"/>
      <sheetName val="H9_19"/>
      <sheetName val="Sheet1_(2)8"/>
      <sheetName val="与信一覧_(2)8"/>
      <sheetName val="Plan_sbA8"/>
      <sheetName val="购入商品刘_8"/>
      <sheetName val="図面(富田豊田)_(2)6"/>
      <sheetName val="2000LISTｔｒｕｅ_11175"/>
      <sheetName val="数値_(婦人)5"/>
      <sheetName val="ｷｬﾗｸﾀｰｺｰﾄﾞ一覧_(2)5"/>
      <sheetName val="年間１_(2)5"/>
      <sheetName val="Macro_Codes5"/>
      <sheetName val="全社按分比__5"/>
      <sheetName val="報告書_(2)4"/>
      <sheetName val="ページスコア_(2)"/>
      <sheetName val="ﾏｽﾀ"/>
      <sheetName val="変換"/>
      <sheetName val="10.20-11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</sheetDataSet>
  </externalBook>
</externalLink>
</file>

<file path=xl/externalLinks/externalLink46.xml><?xml version="1.0" encoding="utf-8"?>
<externalLink xmlns:r="http://schemas.openxmlformats.org/officeDocument/2006/relationships" xmlns="http://schemas.openxmlformats.org/spreadsheetml/2006/main">
  <externalBook r:id="rId1">
    <sheetNames>
      <sheetName val="RD9501V"/>
      <sheetName val="RD9505A"/>
      <sheetName val="昨対"/>
      <sheetName val="#REF"/>
      <sheetName val="規格書"/>
      <sheetName val="記入ﾌｫｰﾑ"/>
      <sheetName val="NEW95G2"/>
      <sheetName val="5月"/>
      <sheetName val="全合計"/>
      <sheetName val="RD9508V"/>
      <sheetName val="営業所８"/>
      <sheetName val="Sheet1 (2)"/>
      <sheetName val="11wG部門ﾗﾝｷﾝｸﾞ"/>
      <sheetName val="SBプラ鉢"/>
      <sheetName val="SKU_31"/>
      <sheetName val="元データー"/>
      <sheetName val="Sheet1"/>
      <sheetName val="ENGEI"/>
      <sheetName val="ぺっと"/>
      <sheetName val="収納"/>
      <sheetName val="工具"/>
      <sheetName val="カー用品"/>
      <sheetName val="日用品"/>
      <sheetName val="全社"/>
      <sheetName val="RD9505O"/>
      <sheetName val="[RD9"/>
      <sheetName val="_RD9"/>
      <sheetName val="改廃一覧社外秘"/>
      <sheetName val="端末設置状況"/>
      <sheetName val="手順①追加修正連絡票"/>
      <sheetName val="涼味"/>
      <sheetName val="トレンド表"/>
      <sheetName val="Ｃ’表"/>
      <sheetName val="西川繊維２０９ニトリ在庫報告"/>
      <sheetName val="43"/>
      <sheetName val="おでん"/>
      <sheetName val="国勢DATA1"/>
      <sheetName val="国勢DATA2"/>
      <sheetName val="国勢DATA3"/>
      <sheetName val="国勢DATA県"/>
      <sheetName val="消費DATA1"/>
      <sheetName val="消費DATA2"/>
      <sheetName val="消費DATA3"/>
      <sheetName val="消費DATA県"/>
      <sheetName val="13年度発生売上予算"/>
      <sheetName val="入力リスト"/>
      <sheetName val="表3"/>
      <sheetName val="図8"/>
      <sheetName val="ﾄﾞｯﾄｺﾑ"/>
      <sheetName val="行楽ﾌｪｱ"/>
      <sheetName val="表紙"/>
      <sheetName val="仕訳①"/>
      <sheetName val="媒体管理表"/>
      <sheetName val="shtBuff"/>
      <sheetName val="copy1"/>
      <sheetName val="与信一覧 (2)"/>
      <sheetName val="好調不調"/>
      <sheetName val="HQ"/>
      <sheetName val="大型店版"/>
      <sheetName val="GSV目標"/>
      <sheetName val="収納・インテ"/>
      <sheetName val="#REF!"/>
      <sheetName val="ｱｸｾｽｸﾞﾗﾌ"/>
      <sheetName val="HE(他）"/>
      <sheetName val="仕入先"/>
      <sheetName val="対象製品"/>
      <sheetName val="住所録"/>
      <sheetName val="ｵｰﾀﾞｰ"/>
      <sheetName val="配荷"/>
      <sheetName val="8510 (2)"/>
      <sheetName val="0310"/>
      <sheetName val="1"/>
      <sheetName val="竹四つ目垣"/>
      <sheetName val="更新版"/>
      <sheetName val="CM予定表(～2012年3月）"/>
      <sheetName val="shere"/>
      <sheetName val="25DJ40"/>
      <sheetName val="ﾃﾞｰﾀ"/>
      <sheetName val="提案書"/>
      <sheetName val="Ｗｅｂｱﾝｹｰﾄ①"/>
      <sheetName val="Ｗｅｂｱﾝｹｰﾄ②"/>
      <sheetName val="data"/>
      <sheetName val="ﾊｰﾄﾞｵﾌｨｽ価格表"/>
      <sheetName val="一覧表"/>
      <sheetName val="CPU"/>
      <sheetName val="12月"/>
      <sheetName val="043"/>
      <sheetName val="046"/>
      <sheetName val="055"/>
      <sheetName val="ﾃﾞｰﾀｲﾝﾌﾟｯﾄ欄"/>
      <sheetName val="dptFMT"/>
      <sheetName val="事FMT"/>
      <sheetName val="調FMT"/>
      <sheetName val="ｶﾃ"/>
      <sheetName val="Control"/>
      <sheetName val="8以上社員"/>
      <sheetName val="人口移動第４表"/>
      <sheetName val="13_hashihara01"/>
      <sheetName val="29_hashihara13"/>
      <sheetName val="大人12"/>
      <sheetName val="A"/>
      <sheetName val="入力フォーム"/>
      <sheetName val="para"/>
      <sheetName val="１業種"/>
      <sheetName val="宛名"/>
      <sheetName val="ExChange"/>
      <sheetName val="社外秘；HCﾋﾞｼﾞﾈｽﾁｬﾝｽ"/>
      <sheetName val="販売目標"/>
      <sheetName val="バックデータ"/>
      <sheetName val="2000LISTｔｒｕｅ 1117"/>
      <sheetName val="実績・予測"/>
      <sheetName val="北空貼"/>
      <sheetName val="累計出荷実績"/>
      <sheetName val="通常発注書"/>
      <sheetName val="全体定番確定表"/>
      <sheetName val="12年■SAS計画（全店舗）■"/>
      <sheetName val="０５３合計"/>
      <sheetName val="１"/>
      <sheetName val="新ﾗｲﾝ(部品展開)"/>
      <sheetName val="ｲﾎﾞ竹販売数調整"/>
      <sheetName val="管理引当金"/>
      <sheetName val="P1実績①"/>
      <sheetName val="PAK6263"/>
      <sheetName val="４週指示"/>
      <sheetName val="RD9508V.XLS"/>
      <sheetName val="Sheet3"/>
      <sheetName val="目次"/>
      <sheetName val="POP&amp;什器"/>
      <sheetName val="マスター"/>
      <sheetName val="ｼｰﾄ1"/>
      <sheetName val="提出用EXCEL"/>
      <sheetName val="生人台帳"/>
      <sheetName val="検査結果一覧(日本受入)"/>
      <sheetName val="単価は最低納価使用"/>
      <sheetName val="Ｃ’’表"/>
      <sheetName val="Ｃ’’’’表"/>
      <sheetName val="市場クレーム明細 "/>
      <sheetName val="5-6月キャンペーン"/>
      <sheetName val="管理引当"/>
      <sheetName val="領収書"/>
      <sheetName val="編集用シート"/>
      <sheetName val="_Recovered_SheetName_ 1_"/>
      <sheetName val="与信一覧_(2)"/>
      <sheetName val="10.20-11.12"/>
      <sheetName val="POP申請フォーマット（ここに入力してください）"/>
      <sheetName val="H9.1"/>
      <sheetName val="包材リスト"/>
      <sheetName val="初回納品"/>
      <sheetName val="ケチャップ有り"/>
      <sheetName val="検査結果一覧"/>
      <sheetName val="　月次報告（数値データ）　"/>
      <sheetName val="日本チーム計算根拠"/>
      <sheetName val="NST (4)"/>
      <sheetName val="②仙台"/>
      <sheetName val="①器具製作実績グラフ"/>
      <sheetName val="与信管理帳合"/>
      <sheetName val="粗利率順Wﾁｪｯｸ表"/>
      <sheetName val="入金実96"/>
      <sheetName val="元データ"/>
      <sheetName val="Plan sbA"/>
      <sheetName val="ROI"/>
      <sheetName val="与信一覧_(2)1"/>
      <sheetName val="8510_(2)"/>
      <sheetName val="2000LISTｔｒｕｅ_1117"/>
      <sheetName val="Sheet1_(2)"/>
      <sheetName val="RD9508V_XLS"/>
      <sheetName val="10_20-11_12"/>
      <sheetName val="Plan_sbA"/>
      <sheetName val="市場クレーム明細_"/>
      <sheetName val="提供用EXCEL"/>
      <sheetName val="与信一覧_(2)2"/>
      <sheetName val="8510_(2)1"/>
      <sheetName val="2000LISTｔｒｕｅ_11171"/>
      <sheetName val="Sheet1_(2)1"/>
      <sheetName val="RD9508V_XLS1"/>
      <sheetName val="10_20-11_121"/>
      <sheetName val="Plan_sbA1"/>
      <sheetName val="市場クレーム明細_1"/>
      <sheetName val="大連製造ＶＡコストダウン金額纏め (＄1000以上)."/>
      <sheetName val="033"/>
      <sheetName val="与信一覧_(2)3"/>
      <sheetName val="8510_(2)2"/>
      <sheetName val="2000LISTｔｒｕｅ_11172"/>
      <sheetName val="Sheet1_(2)2"/>
      <sheetName val="RD9508V_XLS2"/>
      <sheetName val="10_20-11_122"/>
      <sheetName val="Plan_sbA2"/>
      <sheetName val="市場クレーム明細_2"/>
      <sheetName val="_REF"/>
      <sheetName val="健康ﾌｪｱ外注(ﾌﾞﾛｯｸ)"/>
      <sheetName val="仕様変更進捗（ＡＬＬ）"/>
      <sheetName val="ｷﾞﾌﾄ・ﾃﾅﾝﾄ除く"/>
      <sheetName val="基本量販店動向"/>
      <sheetName val="点数"/>
      <sheetName val="データ入力"/>
      <sheetName val="SEIｶﾗｰ"/>
      <sheetName val="売上(衣)"/>
      <sheetName val="原料ﾚｼﾋﾟ"/>
      <sheetName val="商品ﾏｽﾀｰ"/>
      <sheetName val="POP-YMDMH-ARI040930-1"/>
      <sheetName val="板資材(M)"/>
      <sheetName val="入力"/>
      <sheetName val="①品名・梱包入力"/>
      <sheetName val="店別"/>
      <sheetName val="_Recovered_SheetName__1_"/>
      <sheetName val="日8L_B"/>
      <sheetName val="不点灯交換の情報記載"/>
      <sheetName val="２月店舗経費実績"/>
      <sheetName val="１．社内ﾈｯﾄﾜｰｸﾊｰﾄﾞｳｪｱ"/>
      <sheetName val="ﾌﾟﾚｾﾞﾝ資"/>
      <sheetName val="じんこうTOPICS"/>
      <sheetName val="Ｃ実績①"/>
      <sheetName val="店舗マスタ"/>
      <sheetName val="先行管理記入例"/>
      <sheetName val="全件リスト"/>
      <sheetName val="D3"/>
      <sheetName val="graph"/>
      <sheetName val="SKU"/>
      <sheetName val="明細"/>
      <sheetName val="廃番ﾃﾞｯﾄﾞ"/>
      <sheetName val="定数"/>
      <sheetName val="⑤弁当"/>
      <sheetName val="マスタ"/>
      <sheetName val="本体バック"/>
      <sheetName val="地域B"/>
      <sheetName val="G5"/>
      <sheetName val="SINAZ4月"/>
      <sheetName val="0606販売予測"/>
      <sheetName val="NST_(4)"/>
      <sheetName val="直送ｺﾝﾃﾅ管理表"/>
      <sheetName val="支給品一覧表"/>
      <sheetName val="②東京"/>
      <sheetName val="②大阪"/>
      <sheetName val="Sheet1_(2)3"/>
      <sheetName val="与信一覧_(2)4"/>
      <sheetName val="8510_(2)3"/>
      <sheetName val="2000LISTｔｒｕｅ_11173"/>
      <sheetName val="RD9508V_XLS3"/>
      <sheetName val="市場クレーム明細_3"/>
      <sheetName val="_Recovered_SheetName__1_1"/>
      <sheetName val="10_20-11_123"/>
      <sheetName val="H9_1"/>
      <sheetName val="Plan_sbA3"/>
      <sheetName val="大連製造ＶＡコストダウン金額纏め_(＄1000以上)_"/>
      <sheetName val="大容量ﾀｲﾌﾟ"/>
      <sheetName val="47下管理"/>
      <sheetName val="価格表"/>
      <sheetName val="経費"/>
      <sheetName val="ダンジ"/>
      <sheetName val="鳥栖"/>
      <sheetName val="営業所一覧"/>
      <sheetName val="部材表"/>
      <sheetName val="品目リスト"/>
      <sheetName val="LIST"/>
      <sheetName val="リスト"/>
      <sheetName val="証拠"/>
      <sheetName val="基本cvs動向"/>
      <sheetName val="営業実績"/>
      <sheetName val="万田酵素モニター"/>
      <sheetName val="USA_3期グラフ"/>
      <sheetName val="【大連】部門損益"/>
      <sheetName val="11年度発生売上予算提出書類"/>
      <sheetName val="2401"/>
      <sheetName val="Macro1"/>
      <sheetName val="品種別数量"/>
      <sheetName val="商品一覧"/>
      <sheetName val="Ｃ'表"/>
      <sheetName val="Rent Roll"/>
      <sheetName val="Sheet2"/>
      <sheetName val="NST_(4)1"/>
      <sheetName val="外注トライ"/>
      <sheetName val="クレジット決済"/>
      <sheetName val="32.ＹＢ構成"/>
      <sheetName val="0901"/>
      <sheetName val="0902"/>
      <sheetName val="0903"/>
      <sheetName val="0904"/>
      <sheetName val="0905"/>
      <sheetName val="0906"/>
      <sheetName val="0907"/>
      <sheetName val="0908"/>
      <sheetName val="0909"/>
      <sheetName val="0910"/>
      <sheetName val="0911"/>
      <sheetName val="0912"/>
      <sheetName val="対象者リスト"/>
      <sheetName val="受取配当金"/>
      <sheetName val="入力シート"/>
      <sheetName val="形材部品マスター"/>
      <sheetName val="企画書"/>
      <sheetName val="52wG部門ﾗﾝｷﾝｸﾞ"/>
      <sheetName val="●キャンペーン・企画ヒアリング"/>
      <sheetName val="昨比データ"/>
      <sheetName val="月末"/>
      <sheetName val="Rent_Roll"/>
      <sheetName val="Sheet5"/>
      <sheetName val="Sheet6"/>
      <sheetName val="Sheet7"/>
      <sheetName val="Sheet8"/>
      <sheetName val="Sheet9"/>
      <sheetName val="資材ＳＩＭ"/>
      <sheetName val="コード(腕時計)"/>
      <sheetName val="POP製作Ｂ"/>
      <sheetName val="PＯＰ制作Ａ新"/>
      <sheetName val="区分"/>
      <sheetName val="台湾～ｵﾏｰﾝ"/>
      <sheetName val="損益計画"/>
      <sheetName val="メニュー"/>
      <sheetName val="設定"/>
      <sheetName val="フリーダイヤル"/>
      <sheetName val="機種"/>
      <sheetName val="発信元課金"/>
      <sheetName val="帳票"/>
      <sheetName val="ST障害管理表"/>
      <sheetName val="Wﾁｪｯｸ表"/>
      <sheetName val="share"/>
      <sheetName val="売上速報19973"/>
      <sheetName val="全国"/>
      <sheetName val="ﾘｽﾄ"/>
      <sheetName val="エンド"/>
      <sheetName val="ラックEXPO"/>
      <sheetName val="クロス昨年"/>
      <sheetName val="クロス売上"/>
      <sheetName val="入力用"/>
      <sheetName val="ｼﾞｬｽｺ商報"/>
      <sheetName val="集計①"/>
      <sheetName val="与信ｵｰﾊﾞｰ"/>
      <sheetName val="メンテナンス受付台帳"/>
      <sheetName val="個数単価推移２００１"/>
      <sheetName val="報告依頼部署"/>
      <sheetName val="tbl"/>
      <sheetName val="カーサイクル"/>
      <sheetName val="3_hashihara48"/>
      <sheetName val="与信一覧_(2)5"/>
      <sheetName val="8510_(2)4"/>
      <sheetName val="2000LISTｔｒｕｅ_11174"/>
      <sheetName val="Sheet1_(2)4"/>
      <sheetName val="RD9508V_XLS4"/>
      <sheetName val="10_20-11_124"/>
      <sheetName val="大連製造ＶＡコストダウン金額纏め_(＄1000以上)_1"/>
      <sheetName val="Plan_sbA4"/>
      <sheetName val="市場クレーム明細_4"/>
      <sheetName val="_Recovered_SheetName__1_2"/>
      <sheetName val="NST_(4)2"/>
      <sheetName val="H9_11"/>
      <sheetName val="Rent_Roll1"/>
      <sheetName val="32_ＹＢ構成"/>
      <sheetName val="⑧-2ﾊﾟﾀｰﾝ別店舗一覧"/>
      <sheetName val="ﾌﾞﾗｼ梶"/>
      <sheetName val="アンケート集計(12.3）"/>
      <sheetName val="HA実販"/>
      <sheetName val="部門別計画表"/>
      <sheetName val="30IY"/>
      <sheetName val="VIVA"/>
      <sheetName val="30VIVA"/>
      <sheetName val="ドイト"/>
      <sheetName val="30ドイト"/>
      <sheetName val="島忠"/>
      <sheetName val="30島忠"/>
      <sheetName val="貼付用"/>
      <sheetName val="家電担当者 "/>
      <sheetName val="Tp040611-2%"/>
      <sheetName val="集計シート(合算)"/>
      <sheetName val="ﾁｭｰﾘｯﾌﾟ"/>
      <sheetName val="ﾕﾘ"/>
      <sheetName val="ｽｲｾﾝ_ﾋﾔｼﾝｽ_ｸﾛｯｶｽ"/>
      <sheetName val="全件ﾘｽﾄ"/>
      <sheetName val="店舗情報"/>
      <sheetName val="42.ＹＢ構成"/>
      <sheetName val="万代比数"/>
      <sheetName val=""/>
      <sheetName val="taalcode"/>
      <sheetName val="Product"/>
      <sheetName val="全体AP資料10月(ＨＥ)"/>
      <sheetName val="与信一覧_(2)6"/>
      <sheetName val="8510_(2)5"/>
      <sheetName val="2000LISTｔｒｕｅ_11175"/>
      <sheetName val="Sheet1_(2)5"/>
      <sheetName val="RD9508V_XLS5"/>
      <sheetName val="10_20-11_125"/>
      <sheetName val="市場クレーム明細_5"/>
      <sheetName val="Plan_sbA5"/>
      <sheetName val="大連製造ＶＡコストダウン金額纏め_(＄1000以上)_2"/>
      <sheetName val="_Recovered_SheetName__1_3"/>
      <sheetName val="NST_(4)3"/>
      <sheetName val="H9_12"/>
      <sheetName val="Rent_Roll2"/>
      <sheetName val="32_ＹＢ構成1"/>
      <sheetName val="店舗（合算）"/>
      <sheetName val="見積書"/>
      <sheetName val="集計シート(IY)"/>
      <sheetName val="net_qty"/>
      <sheetName val="品種別計画表〈予算）"/>
      <sheetName val="０５"/>
      <sheetName val="業態"/>
      <sheetName val="仕入処理ルール"/>
      <sheetName val="作業"/>
      <sheetName val="新商品比率ｸﾞﾗﾌ"/>
      <sheetName val="開店"/>
      <sheetName val="貼付画面1"/>
      <sheetName val="ﾌｰｽﾞ売荒"/>
      <sheetName val="店舗一覧"/>
      <sheetName val="事業部"/>
      <sheetName val="商品台帳"/>
      <sheetName val="検質報告書"/>
      <sheetName val="コンテナ事故報告"/>
      <sheetName val="ﾊｰﾄﾞ①【全データ】"/>
      <sheetName val="選択"/>
      <sheetName val="ライン・月別　品目数表"/>
      <sheetName val="生産計画"/>
      <sheetName val="広域２部３部結合"/>
      <sheetName val="Sheet16"/>
      <sheetName val="比較ヘッダー"/>
      <sheetName val="01-072"/>
      <sheetName val="shtWork1"/>
      <sheetName val="銘柄７（浸透ﾗﾝｸ）"/>
      <sheetName val="印鑑捺印ﾏｸﾛ"/>
      <sheetName val="ﾁﾗｼ"/>
      <sheetName val="011101"/>
      <sheetName val="取引先等一覧"/>
      <sheetName val="単価"/>
      <sheetName val="新MDPC納品状況（ＩＹ）"/>
      <sheetName val="与信一覧_(2)7"/>
      <sheetName val="8510_(2)6"/>
      <sheetName val="2000LISTｔｒｕｅ_11176"/>
      <sheetName val="Sheet1_(2)6"/>
      <sheetName val="_Recovered_SheetName__1_4"/>
      <sheetName val="RD9508V_XLS6"/>
      <sheetName val="10_20-11_126"/>
      <sheetName val="市場クレーム明細_6"/>
      <sheetName val="Plan_sbA6"/>
      <sheetName val="NST_(4)4"/>
      <sheetName val="大連製造ＶＡコストダウン金額纏め_(＄1000以上)_3"/>
      <sheetName val="H9_13"/>
      <sheetName val="Rent_Roll3"/>
      <sheetName val="32_ＹＢ構成2"/>
      <sheetName val="0127000受注処理"/>
      <sheetName val="台帳"/>
      <sheetName val="第２章 1.食料品消費支出2"/>
      <sheetName val="クレーム解析記録"/>
      <sheetName val="比較表"/>
      <sheetName val="窓枠ｾｯﾄR"/>
      <sheetName val="商品構成ｸﾞﾗﾌ（売価別）"/>
      <sheetName val="計算"/>
      <sheetName val="区分値シート"/>
      <sheetName val="加工"/>
      <sheetName val="加工２"/>
      <sheetName val="商品マスタ"/>
      <sheetName val="店別売上構成比"/>
      <sheetName val="外食Z県別"/>
      <sheetName val="D28依頼書表紙"/>
      <sheetName val="ｷﾞﾌﾄ"/>
      <sheetName val="JUUGYOUIN"/>
      <sheetName val="加工シート"/>
      <sheetName val="溶接付加"/>
      <sheetName val="■13店別展開パターン表 (3)"/>
      <sheetName val="■13店別展開パターン表"/>
      <sheetName val="ＭG５５５、５５４チャンネル"/>
      <sheetName val="プルダウンメニュー20190201"/>
      <sheetName val="プルダウンメニュー20190401"/>
      <sheetName val="家電担当者_"/>
      <sheetName val="42_ＹＢ構成"/>
      <sheetName val="アンケート集計(12_3）"/>
      <sheetName val="ぶつﾏｽﾀｰ"/>
      <sheetName val="布団乾燥機ｐｐｍ"/>
      <sheetName val="MCDSS"/>
      <sheetName val="選択項目一覧 "/>
      <sheetName val="Sheet4"/>
      <sheetName val="イキプラ選定ラインクラス表"/>
      <sheetName val="契約上棟ｸﾞﾗﾌ"/>
      <sheetName val="貼付画面T"/>
      <sheetName val="貼付画面R"/>
      <sheetName val="週別主力商品(婦人)"/>
      <sheetName val="QRＳ"/>
      <sheetName val="市場規模"/>
      <sheetName val="売上集計"/>
      <sheetName val="ﾏｽﾀｰ入･出力ｼｰﾄ"/>
      <sheetName val="プルダウン項目"/>
      <sheetName val="H7昇格者"/>
      <sheetName val="宅配伝票リスト"/>
      <sheetName val="APPLE"/>
      <sheetName val="SIM00_SB"/>
      <sheetName val="○得計画"/>
      <sheetName val="データ"/>
      <sheetName val="ﾃﾞｰﾀ入力"/>
      <sheetName val="仕入計画AI8月"/>
      <sheetName val="平均単価"/>
      <sheetName val="選択項目"/>
      <sheetName val="06.05"/>
      <sheetName val="06.05イン"/>
      <sheetName val="06.05直営"/>
      <sheetName val="現状鳥栖 (事業部予測) "/>
      <sheetName val="ﾏｽﾀｰ"/>
      <sheetName val="YAMADA_TSUKUMO_分類比較"/>
      <sheetName val="原紙"/>
      <sheetName val="分類一覧"/>
      <sheetName val="経費FMT 管理科目"/>
      <sheetName val="昨年比データ"/>
      <sheetName val="ワーク"/>
      <sheetName val="SC入替"/>
      <sheetName val="0801_03全体実績集計"/>
      <sheetName val="8.3～新商品"/>
      <sheetName val="ﾃﾞｰﾀｼｰﾄ"/>
      <sheetName val="シート１"/>
      <sheetName val="抽出_Pivot"/>
      <sheetName val="外注データ(ここへ入力)"/>
      <sheetName val="3月消臭元"/>
      <sheetName val="確認完了報告"/>
      <sheetName val="ディックＤ"/>
      <sheetName val="フジＤ"/>
      <sheetName val="事Ｄ"/>
      <sheetName val="発売済（価格表反映済）"/>
      <sheetName val="NJ基本data"/>
      <sheetName val="現場監督情報"/>
      <sheetName val="案件一覧控え"/>
      <sheetName val="月別落込(新店込)"/>
      <sheetName val="ＦＤ実績 "/>
      <sheetName val="㋱ＰＯＳｏｕｔ実績"/>
      <sheetName val="8月度メーカー比較"/>
      <sheetName val="201808実績"/>
      <sheetName val="201908実績"/>
      <sheetName val="前年比較"/>
      <sheetName val="盆金封"/>
      <sheetName val="軽減税率･ﾊﾝﾃﾞｨﾌｧﾝ"/>
      <sheetName val="STｹｼ･ﾋﾟｯﾄ"/>
      <sheetName val="STｹｼ比較"/>
      <sheetName val="6月度"/>
      <sheetName val="７月度 "/>
      <sheetName val="8月度"/>
      <sheetName val="マスク"/>
      <sheetName val="業務依頼書"/>
      <sheetName val="ﾘﾍﾞｰﾄﾗﾝｸ2000"/>
      <sheetName val="工事予算書"/>
      <sheetName val="アパート６６６０"/>
      <sheetName val="第3四半期（完）"/>
      <sheetName val="弊社分類別実績"/>
      <sheetName val="貴社分類別別実績"/>
      <sheetName val="一覧"/>
      <sheetName val="Front Cover 表紙（３SET）"/>
      <sheetName val="現地通貨"/>
      <sheetName val="店舗P"/>
      <sheetName val="Catalog"/>
      <sheetName val="Settings"/>
      <sheetName val="配荷目標"/>
      <sheetName val="新"/>
      <sheetName val="集計表"/>
      <sheetName val="人時予算"/>
      <sheetName val="与信一覧_(2)8"/>
      <sheetName val="8510_(2)7"/>
      <sheetName val="2000LISTｔｒｕｅ_11177"/>
      <sheetName val="Sheet1_(2)7"/>
      <sheetName val="RD9508V_XLS7"/>
      <sheetName val="市場クレーム明細_7"/>
      <sheetName val="_Recovered_SheetName__1_5"/>
      <sheetName val="10_20-11_127"/>
      <sheetName val="NST_(4)5"/>
      <sheetName val="H9_14"/>
      <sheetName val="Plan_sbA7"/>
      <sheetName val="大連製造ＶＡコストダウン金額纏め_(＄1000以上)_4"/>
      <sheetName val="32_ＹＢ構成3"/>
      <sheetName val="Rent_Roll4"/>
      <sheetName val="家電担当者_1"/>
      <sheetName val="42_ＹＢ構成1"/>
      <sheetName val="アンケート集計(12_3）1"/>
      <sheetName val="第２章_1_食料品消費支出2"/>
      <sheetName val="■13店別展開パターン表_(3)"/>
      <sheetName val="選択項目一覧_"/>
      <sheetName val="経費FMT_管理科目"/>
      <sheetName val="8_3～新商品"/>
      <sheetName val="06_05"/>
      <sheetName val="06_05イン"/>
      <sheetName val="06_05直営"/>
      <sheetName val="現状鳥栖_(事業部予測)_"/>
      <sheetName val="ＦＤ実績_"/>
      <sheetName val="７月度_"/>
      <sheetName val="与信一覧_(2)9"/>
      <sheetName val="8510_(2)8"/>
      <sheetName val="2000LISTｔｒｕｅ_11178"/>
      <sheetName val="Sheet1_(2)8"/>
      <sheetName val="RD9508V_XLS8"/>
      <sheetName val="10_20-11_128"/>
      <sheetName val="Plan_sbA8"/>
      <sheetName val="市場クレーム明細_8"/>
      <sheetName val="_Recovered_SheetName__1_6"/>
      <sheetName val="NST_(4)6"/>
      <sheetName val="大連製造ＶＡコストダウン金額纏め_(＄1000以上)_5"/>
      <sheetName val="H9_15"/>
      <sheetName val="Rent_Roll5"/>
      <sheetName val="32_ＹＢ構成4"/>
      <sheetName val="アンケート集計(12_3）2"/>
      <sheetName val="家電担当者_2"/>
      <sheetName val="42_ＹＢ構成2"/>
      <sheetName val="第２章_1_食料品消費支出21"/>
      <sheetName val="■13店別展開パターン表_(3)1"/>
      <sheetName val="選択項目一覧_1"/>
      <sheetName val="06_051"/>
      <sheetName val="06_05イン1"/>
      <sheetName val="06_05直営1"/>
      <sheetName val="現状鳥栖_(事業部予測)_1"/>
      <sheetName val="8_3～新商品1"/>
      <sheetName val="ＦＤ実績_1"/>
      <sheetName val="７月度_1"/>
      <sheetName val="経費FMT_管理科目1"/>
      <sheetName val="ﾃﾚｺTｼｬﾂ"/>
      <sheetName val="消すな！"/>
      <sheetName val="棚卸030203下田"/>
      <sheetName val="ＮＣ"/>
      <sheetName val="和風アイス調査アンケート結果"/>
      <sheetName val="基本"/>
      <sheetName val="ﾌﾙｰﾂ村pet"/>
      <sheetName val="表紙数字"/>
      <sheetName val="WORK"/>
      <sheetName val="データ作成シート"/>
      <sheetName val="予算・計画検証"/>
      <sheetName val="サマリ"/>
      <sheetName val="貸出比較"/>
      <sheetName val="印刷用"/>
      <sheetName val="社員マスタ"/>
      <sheetName val="部品分類明細"/>
      <sheetName val="部品分類明細 (2)"/>
      <sheetName val="店舗リスト"/>
      <sheetName val="担当表"/>
      <sheetName val="改廃棚割商品ｶﾙﾃ1（要記入）"/>
      <sheetName val="日配マスター"/>
      <sheetName val="ParamCATE"/>
      <sheetName val="ParamCLASS"/>
      <sheetName val="ParamTENPO"/>
      <sheetName val="ParamBUMON"/>
      <sheetName val="設定画面"/>
      <sheetName val="つばさ保育園"/>
      <sheetName val="近文保育所"/>
      <sheetName val="いずみこども保育園"/>
      <sheetName val="慈光園保育所"/>
      <sheetName val="東神楽中央保育園"/>
      <sheetName val="神楽保育園 "/>
      <sheetName val="ふたばの庭"/>
      <sheetName val="商品マスター"/>
      <sheetName val="地域 CD"/>
      <sheetName val="消耗品"/>
      <sheetName val="仕入"/>
      <sheetName val="シミュレーションD1 "/>
      <sheetName val="富田貼"/>
      <sheetName val="数値生鮮フロア"/>
      <sheetName val="状態・数値割合"/>
      <sheetName val="数値フロア"/>
      <sheetName val="状態個人別"/>
      <sheetName val="主要港 10"/>
      <sheetName val="販促実績 (2)"/>
      <sheetName val="粗利リビングステージ"/>
      <sheetName val="粗利ｱﾚｺﾚ"/>
      <sheetName val="ほうれん草とﾍﾞｰｺﾝ"/>
      <sheetName val="商品規格書"/>
      <sheetName val="八  (2)"/>
      <sheetName val="青 (3)"/>
      <sheetName val="仙台"/>
      <sheetName val="関東 (2)"/>
      <sheetName val="関東"/>
      <sheetName val="札"/>
      <sheetName val="青 (2)"/>
      <sheetName val="八 "/>
      <sheetName val="二本松"/>
      <sheetName val="二本松 (2)"/>
      <sheetName val="二本松 (3)"/>
      <sheetName val="二本松 (4)"/>
      <sheetName val="メーカー欠品横持"/>
      <sheetName val="メーカー欠品拠点横持報告書（本社行）盛岡"/>
      <sheetName val="粗利ｱｳﾄﾚｯﾄ"/>
      <sheetName val="アレコレ予算"/>
      <sheetName val="シュミレーション"/>
      <sheetName val="2018 年間計画"/>
      <sheetName val="備考3"/>
      <sheetName val="2019 予算2"/>
      <sheetName val="2018 高松店方針"/>
      <sheetName val="2018売上粗利計画"/>
      <sheetName val="18年度販促計画 "/>
      <sheetName val="組織と担当"/>
      <sheetName val="地区別実績"/>
      <sheetName val="マッピング"/>
      <sheetName val="★展示構成表"/>
      <sheetName val="売上構成表"/>
      <sheetName val="2017年間実績"/>
      <sheetName val="月別売上計画"/>
      <sheetName val="月別粗利計画 "/>
      <sheetName val="在庫金額"/>
      <sheetName val="3"/>
      <sheetName val="INS住まい"/>
      <sheetName val="区分表"/>
      <sheetName val="与信一覧_(2)10"/>
      <sheetName val="8510_(2)9"/>
      <sheetName val="2000LISTｔｒｕｅ_11179"/>
      <sheetName val="Sheet1_(2)9"/>
      <sheetName val="RD9508V_XLS9"/>
      <sheetName val="_Recovered_SheetName__1_7"/>
      <sheetName val="10_20-11_129"/>
      <sheetName val="市場クレーム明細_9"/>
      <sheetName val="Plan_sbA9"/>
      <sheetName val="NST_(4)7"/>
      <sheetName val="大連製造ＶＡコストダウン金額纏め_(＄1000以上)_6"/>
      <sheetName val="H9_16"/>
      <sheetName val="Rent_Roll6"/>
      <sheetName val="32_ＹＢ構成5"/>
      <sheetName val="アンケート集計(12_3）3"/>
      <sheetName val="家電担当者_3"/>
      <sheetName val="42_ＹＢ構成3"/>
      <sheetName val="第２章_1_食料品消費支出22"/>
      <sheetName val="■13店別展開パターン表_(3)2"/>
      <sheetName val="選択項目一覧_2"/>
      <sheetName val="06_052"/>
      <sheetName val="06_05イン2"/>
      <sheetName val="06_05直営2"/>
      <sheetName val="現状鳥栖_(事業部予測)_2"/>
      <sheetName val="8_3～新商品2"/>
      <sheetName val="ＦＤ実績_2"/>
      <sheetName val="７月度_2"/>
      <sheetName val="経費FMT_管理科目2"/>
      <sheetName val="主要港_10"/>
      <sheetName val="販促実績_(2)"/>
      <sheetName val="Front_Cover_表紙（３SET）"/>
      <sheetName val="地域_CD"/>
      <sheetName val="与信一覧_(2)11"/>
      <sheetName val="8510_(2)10"/>
      <sheetName val="2000LISTｔｒｕｅ_111710"/>
      <sheetName val="Sheet1_(2)10"/>
      <sheetName val="RD9508V_XLS10"/>
      <sheetName val="_Recovered_SheetName__1_8"/>
      <sheetName val="10_20-11_1210"/>
      <sheetName val="市場クレーム明細_10"/>
      <sheetName val="Plan_sbA10"/>
      <sheetName val="NST_(4)8"/>
      <sheetName val="大連製造ＶＡコストダウン金額纏め_(＄1000以上)_7"/>
      <sheetName val="H9_17"/>
      <sheetName val="Rent_Roll7"/>
      <sheetName val="32_ＹＢ構成6"/>
      <sheetName val="アンケート集計(12_3）4"/>
      <sheetName val="家電担当者_4"/>
      <sheetName val="42_ＹＢ構成4"/>
      <sheetName val="第２章_1_食料品消費支出23"/>
      <sheetName val="■13店別展開パターン表_(3)3"/>
      <sheetName val="選択項目一覧_3"/>
      <sheetName val="06_053"/>
      <sheetName val="06_05イン3"/>
      <sheetName val="06_05直営3"/>
      <sheetName val="現状鳥栖_(事業部予測)_3"/>
      <sheetName val="8_3～新商品3"/>
      <sheetName val="ＦＤ実績_3"/>
      <sheetName val="７月度_3"/>
      <sheetName val="経費FMT_管理科目3"/>
      <sheetName val="主要港_101"/>
      <sheetName val="販促実績_(2)1"/>
      <sheetName val="Front_Cover_表紙（３SET）1"/>
      <sheetName val="八__(2)"/>
      <sheetName val="青_(3)"/>
      <sheetName val="関東_(2)"/>
      <sheetName val="青_(2)"/>
      <sheetName val="八_"/>
      <sheetName val="二本松_(2)"/>
      <sheetName val="二本松_(3)"/>
      <sheetName val="二本松_(4)"/>
      <sheetName val="帳合表"/>
      <sheetName val="S070080"/>
      <sheetName val="ﾁﾗｼ枚数"/>
      <sheetName val="S060204"/>
      <sheetName val="返答"/>
      <sheetName val="地域_CD1"/>
      <sheetName val="商品"/>
      <sheetName val="店在一覧"/>
      <sheetName val="対象内容"/>
      <sheetName val="Sheet1_(2)12"/>
      <sheetName val="与信一覧_(2)13"/>
      <sheetName val="8510_(2)12"/>
      <sheetName val="2000LISTｔｒｕｅ_111712"/>
      <sheetName val="RD9508V_XLS12"/>
      <sheetName val="市場クレーム明細_12"/>
      <sheetName val="_Recovered_SheetName__1_10"/>
      <sheetName val="10_20-11_1212"/>
      <sheetName val="H9_19"/>
      <sheetName val="NST_(4)10"/>
      <sheetName val="Plan_sbA12"/>
      <sheetName val="大連製造ＶＡコストダウン金額纏め_(＄1000以上)_9"/>
      <sheetName val="Rent_Roll9"/>
      <sheetName val="32_ＹＢ構成8"/>
      <sheetName val="アンケート集計(12_3）6"/>
      <sheetName val="家電担当者_6"/>
      <sheetName val="42_ＹＢ構成6"/>
      <sheetName val="第２章_1_食料品消費支出25"/>
      <sheetName val="■13店別展開パターン表_(3)5"/>
      <sheetName val="選択項目一覧_5"/>
      <sheetName val="06_055"/>
      <sheetName val="06_05イン5"/>
      <sheetName val="06_05直営5"/>
      <sheetName val="現状鳥栖_(事業部予測)_5"/>
      <sheetName val="経費FMT_管理科目5"/>
      <sheetName val="8_3～新商品5"/>
      <sheetName val="ＦＤ実績_5"/>
      <sheetName val="７月度_5"/>
      <sheetName val="Front_Cover_表紙（３SET）3"/>
      <sheetName val="Sheet1_(2)11"/>
      <sheetName val="与信一覧_(2)12"/>
      <sheetName val="8510_(2)11"/>
      <sheetName val="2000LISTｔｒｕｅ_111711"/>
      <sheetName val="RD9508V_XLS11"/>
      <sheetName val="市場クレーム明細_11"/>
      <sheetName val="_Recovered_SheetName__1_9"/>
      <sheetName val="10_20-11_1211"/>
      <sheetName val="H9_18"/>
      <sheetName val="NST_(4)9"/>
      <sheetName val="Plan_sbA11"/>
      <sheetName val="大連製造ＶＡコストダウン金額纏め_(＄1000以上)_8"/>
      <sheetName val="Rent_Roll8"/>
      <sheetName val="32_ＹＢ構成7"/>
      <sheetName val="アンケート集計(12_3）5"/>
      <sheetName val="家電担当者_5"/>
      <sheetName val="42_ＹＢ構成5"/>
      <sheetName val="第２章_1_食料品消費支出24"/>
      <sheetName val="■13店別展開パターン表_(3)4"/>
      <sheetName val="選択項目一覧_4"/>
      <sheetName val="06_054"/>
      <sheetName val="06_05イン4"/>
      <sheetName val="06_05直営4"/>
      <sheetName val="現状鳥栖_(事業部予測)_4"/>
      <sheetName val="経費FMT_管理科目4"/>
      <sheetName val="8_3～新商品4"/>
      <sheetName val="ＦＤ実績_4"/>
      <sheetName val="７月度_4"/>
      <sheetName val="Front_Cover_表紙（３SET）2"/>
      <sheetName val="ﾘｽﾄﾃﾞｰﾀ"/>
      <sheetName val="データ販路3層"/>
      <sheetName val="データ業種"/>
      <sheetName val="データ契約プラン"/>
      <sheetName val="データ販路2層"/>
      <sheetName val="データ営業担当（エリア）"/>
      <sheetName val="データ営業担当（MS）"/>
      <sheetName val="データ販路4層"/>
      <sheetName val="データプルダウン"/>
      <sheetName val="商品形名表"/>
      <sheetName val="OLAP"/>
      <sheetName val="Effort by Menu Item"/>
      <sheetName val="給与マスタ区分"/>
      <sheetName val="ﾌﾟﾙﾀﾞｳﾝ"/>
      <sheetName val="ISF10+2"/>
      <sheetName val="実績管理表"/>
      <sheetName val="実績管理表(商品別)"/>
      <sheetName val="商品群別販売計画(前期)"/>
      <sheetName val="実績管理表(店別)"/>
      <sheetName val="商品群別販売計画(後期)"/>
      <sheetName val="ﾄﾞﾛｯﾌﾟﾀﾞｳﾝ"/>
      <sheetName val="登録"/>
      <sheetName val="SPLDAT"/>
      <sheetName val="コクミン"/>
      <sheetName val="拠点"/>
      <sheetName val="原材料ｱｲﾃﾑﾏｽﾀｰ"/>
      <sheetName val="仕入数"/>
      <sheetName val="製造数"/>
      <sheetName val="製造ｱｲﾃﾑﾏｽﾀｰ"/>
      <sheetName val="在庫数"/>
      <sheetName val="原料内訳"/>
      <sheetName val="商品名"/>
      <sheetName val="日別予算"/>
      <sheetName val="従業員設定"/>
      <sheetName val="作業設定"/>
      <sheetName val="神楽保育園_"/>
      <sheetName val="部品分類明細_(2)"/>
      <sheetName val="地域_CD2"/>
      <sheetName val="シミュレーションD1_"/>
      <sheetName val="主要港_102"/>
      <sheetName val="販促実績_(2)2"/>
      <sheetName val="2018_年間計画"/>
      <sheetName val="2019_予算2"/>
      <sheetName val="2018_高松店方針"/>
      <sheetName val="18年度販促計画_"/>
      <sheetName val="月別粗利計画_"/>
      <sheetName val="八__(2)1"/>
      <sheetName val="青_(3)1"/>
      <sheetName val="関東_(2)1"/>
      <sheetName val="青_(2)1"/>
      <sheetName val="八_1"/>
      <sheetName val="二本松_(2)1"/>
      <sheetName val="二本松_(3)1"/>
      <sheetName val="二本松_(4)1"/>
      <sheetName val="ｺｰﾄﾞ表"/>
      <sheetName val="Effort_by_Menu_Item"/>
      <sheetName val="既存光源概要"/>
      <sheetName val="既存器具情報"/>
      <sheetName val="【自動計算】ﾗﾝﾌﾟ元ﾃﾞｰﾀ"/>
      <sheetName val="エリア別既存"/>
      <sheetName val="依頼種別"/>
      <sheetName val="ブランドリスト"/>
      <sheetName val="分類"/>
      <sheetName val="摘要ﾘｽﾄ"/>
      <sheetName val="Ｇ月間達成表"/>
      <sheetName val="Ｐ月間達成表"/>
      <sheetName val="祝日一覧"/>
      <sheetName val="シミュレーションD1_3"/>
      <sheetName val="部品分類明細_(2)3"/>
      <sheetName val="神楽保育園_3"/>
      <sheetName val="主要港_103"/>
      <sheetName val="販促実績_(2)3"/>
      <sheetName val="地域_CD3"/>
      <sheetName val="八__(2)3"/>
      <sheetName val="青_(3)3"/>
      <sheetName val="関東_(2)3"/>
      <sheetName val="青_(2)3"/>
      <sheetName val="八_3"/>
      <sheetName val="二本松_(2)3"/>
      <sheetName val="二本松_(3)3"/>
      <sheetName val="二本松_(4)3"/>
      <sheetName val="2018_年間計画3"/>
      <sheetName val="2019_予算23"/>
      <sheetName val="2018_高松店方針3"/>
      <sheetName val="18年度販促計画_3"/>
      <sheetName val="月別粗利計画_3"/>
      <sheetName val="シミュレーションD1_1"/>
      <sheetName val="部品分類明細_(2)1"/>
      <sheetName val="神楽保育園_1"/>
      <sheetName val="2018_年間計画1"/>
      <sheetName val="2019_予算21"/>
      <sheetName val="2018_高松店方針1"/>
      <sheetName val="18年度販促計画_1"/>
      <sheetName val="月別粗利計画_1"/>
      <sheetName val="シミュレーションD1_2"/>
      <sheetName val="部品分類明細_(2)2"/>
      <sheetName val="神楽保育園_2"/>
      <sheetName val="八__(2)2"/>
      <sheetName val="青_(3)2"/>
      <sheetName val="関東_(2)2"/>
      <sheetName val="青_(2)2"/>
      <sheetName val="八_2"/>
      <sheetName val="二本松_(2)2"/>
      <sheetName val="二本松_(3)2"/>
      <sheetName val="二本松_(4)2"/>
      <sheetName val="2018_年間計画2"/>
      <sheetName val="2019_予算22"/>
      <sheetName val="2018_高松店方針2"/>
      <sheetName val="18年度販促計画_2"/>
      <sheetName val="月別粗利計画_2"/>
      <sheetName val="入力規則"/>
      <sheetName val="小口項目"/>
      <sheetName val="与信一覧_(2)14"/>
      <sheetName val="8510_(2)13"/>
      <sheetName val="2000LISTｔｒｕｅ_111713"/>
      <sheetName val="Sheet1_(2)13"/>
      <sheetName val="RD9508V_XLS13"/>
      <sheetName val="市場クレーム明細_13"/>
      <sheetName val="_Recovered_SheetName__1_11"/>
      <sheetName val="10_20-11_1213"/>
      <sheetName val="Plan_sbA13"/>
      <sheetName val="NST_(4)11"/>
      <sheetName val="大連製造ＶＡコストダウン金額纏め_(＄1000以上)_10"/>
      <sheetName val="H9_110"/>
      <sheetName val="Rent_Roll10"/>
      <sheetName val="32_ＹＢ構成9"/>
      <sheetName val="42_ＹＢ構成7"/>
      <sheetName val="家電担当者_7"/>
      <sheetName val="アンケート集計(12_3）7"/>
      <sheetName val="第２章_1_食料品消費支出26"/>
      <sheetName val="■13店別展開パターン表_(3)6"/>
      <sheetName val="06_056"/>
      <sheetName val="06_05イン6"/>
      <sheetName val="06_05直営6"/>
      <sheetName val="現状鳥栖_(事業部予測)_6"/>
      <sheetName val="選択項目一覧_6"/>
      <sheetName val="経費FMT_管理科目6"/>
      <sheetName val="8_3～新商品6"/>
      <sheetName val="ＦＤ実績_6"/>
      <sheetName val="７月度_6"/>
      <sheetName val="Front_Cover_表紙（３SET）4"/>
      <sheetName val="シミュレーションD1_4"/>
      <sheetName val="部品分類明細_(2)4"/>
      <sheetName val="神楽保育園_4"/>
      <sheetName val="主要港_104"/>
      <sheetName val="販促実績_(2)4"/>
      <sheetName val="地域_CD4"/>
      <sheetName val="八__(2)4"/>
      <sheetName val="青_(3)4"/>
      <sheetName val="関東_(2)4"/>
      <sheetName val="青_(2)4"/>
      <sheetName val="八_4"/>
      <sheetName val="二本松_(2)4"/>
      <sheetName val="二本松_(3)4"/>
      <sheetName val="二本松_(4)4"/>
      <sheetName val="2018_年間計画4"/>
      <sheetName val="2019_予算24"/>
      <sheetName val="2018_高松店方針4"/>
      <sheetName val="18年度販促計画_4"/>
      <sheetName val="月別粗利計画_4"/>
      <sheetName val="まとめ"/>
      <sheetName val="(削除禁止)日販ｸﾞﾗﾌ⑩"/>
      <sheetName val="調査シート"/>
      <sheetName val="Effort_by_Menu_Item1"/>
      <sheetName val="Sheet15"/>
      <sheetName val="Sheet18"/>
      <sheetName val="ダニー店別"/>
      <sheetName val="ワンプッシュ初動"/>
      <sheetName val="WK"/>
      <sheetName val="損益計画(2022年)"/>
      <sheetName val="ﾊﾟｯｹｰｼﾞ"/>
      <sheetName val="園芸一覧"/>
      <sheetName val="■電器"/>
      <sheetName val="MIS"/>
      <sheetName val="データ貼り付け（0372176-84を貼り付け）"/>
      <sheetName val="Sheet371"/>
      <sheetName val="\\nas028\c\Volumes\Data\進行中データ\"/>
      <sheetName val="\Volumes\Data\進行中データ\アイリス148\14"/>
      <sheetName val="店舗割表"/>
      <sheetName val="年間１"/>
      <sheetName val="年間１ (2)"/>
      <sheetName val="ラベル表"/>
      <sheetName val="⑤優先順位表"/>
      <sheetName val="課題⑨"/>
      <sheetName val="回答電話番号リスト"/>
      <sheetName val="参）種別リスト"/>
      <sheetName val="サブカテデータ売上累積"/>
      <sheetName val="売価納価ｻｲｽﾞ "/>
      <sheetName val="ＥＯＳ一覧"/>
      <sheetName val="売価JANMST"/>
      <sheetName val="棚割表"/>
      <sheetName val="03"/>
      <sheetName val="04"/>
      <sheetName val="Sheet1003"/>
      <sheetName val="入力規制"/>
      <sheetName val="98-12"/>
      <sheetName val="週別部門別実績 (2)"/>
      <sheetName val="tenso"/>
      <sheetName val="週別主力商品(婦쟀⢦"/>
      <sheetName val="週別主力商品(婦蒘 "/>
      <sheetName val="週別主力商品(婦터⪉"/>
      <sheetName val="週別主力商品(婦悈䅂"/>
      <sheetName val="週別主力商品(婦镸〾"/>
      <sheetName val="週別主力商品(婦䦘᧚"/>
      <sheetName val="週別主力商品(婦偐㵓"/>
      <sheetName val="現地_x0002__x0000_"/>
      <sheetName val="従業員マスタメンテ"/>
      <sheetName val="Sheet372"/>
      <sheetName val="Sheet1011"/>
      <sheetName val="対象者"/>
      <sheetName val="Sheet368"/>
      <sheetName val="Sheet1009"/>
      <sheetName val="3Q ｲﾝﾃ"/>
      <sheetName val="Sheet1_(2)14"/>
      <sheetName val="与信一覧_(2)15"/>
      <sheetName val="8510_(2)14"/>
      <sheetName val="2000LISTｔｒｕｅ_111714"/>
      <sheetName val="RD9508V_XLS14"/>
      <sheetName val="市場クレーム明細_14"/>
      <sheetName val="_Recovered_SheetName__1_12"/>
      <sheetName val="10_20-11_1214"/>
      <sheetName val="H9_111"/>
      <sheetName val="NST_(4)12"/>
      <sheetName val="Plan_sbA14"/>
      <sheetName val="大連製造ＶＡコストダウン金額纏め_(＄1000以上)_11"/>
      <sheetName val="Rent_Roll11"/>
      <sheetName val="32_ＹＢ構成10"/>
      <sheetName val="42_ＹＢ構成8"/>
      <sheetName val="家電担当者_8"/>
      <sheetName val="アンケート集計(12_3）8"/>
      <sheetName val="第２章_1_食料品消費支出27"/>
      <sheetName val="■13店別展開パターン表_(3)7"/>
      <sheetName val="選択項目一覧_7"/>
      <sheetName val="06_057"/>
      <sheetName val="06_05イン7"/>
      <sheetName val="06_05直営7"/>
      <sheetName val="現状鳥栖_(事業部予測)_7"/>
      <sheetName val="経費FMT_管理科目7"/>
      <sheetName val="8_3～新商品7"/>
      <sheetName val="ＦＤ実績_7"/>
      <sheetName val="７月度_7"/>
      <sheetName val="Front_Cover_表紙（３SET）5"/>
      <sheetName val="部品分類明細_(2)5"/>
      <sheetName val="神楽保育園_5"/>
      <sheetName val="地域_CD5"/>
      <sheetName val="シミュレーションD1_5"/>
      <sheetName val="主要港_105"/>
      <sheetName val="販促実績_(2)5"/>
      <sheetName val="八__(2)5"/>
      <sheetName val="青_(3)5"/>
      <sheetName val="関東_(2)5"/>
      <sheetName val="青_(2)5"/>
      <sheetName val="八_5"/>
      <sheetName val="二本松_(2)5"/>
      <sheetName val="二本松_(3)5"/>
      <sheetName val="二本松_(4)5"/>
      <sheetName val="2018_年間計画5"/>
      <sheetName val="2019_予算25"/>
      <sheetName val="2018_高松店方針5"/>
      <sheetName val="18年度販促計画_5"/>
      <sheetName val="月別粗利計画_5"/>
      <sheetName val="Effort_by_Menu_Item2"/>
      <sheetName val="経営数値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 refreshError="1"/>
      <sheetData sheetId="607"/>
      <sheetData sheetId="608" refreshError="1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/>
      <sheetData sheetId="649"/>
      <sheetData sheetId="650" refreshError="1"/>
      <sheetData sheetId="651" refreshError="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/>
      <sheetData sheetId="764" refreshError="1"/>
      <sheetData sheetId="765" refreshError="1"/>
      <sheetData sheetId="766" refreshError="1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 refreshError="1"/>
      <sheetData sheetId="936" refreshError="1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 refreshError="1"/>
      <sheetData sheetId="986" refreshError="1"/>
      <sheetData sheetId="987" refreshError="1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 refreshError="1"/>
      <sheetData sheetId="1020" refreshError="1"/>
      <sheetData sheetId="1021" refreshError="1"/>
      <sheetData sheetId="1022" refreshError="1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 refreshError="1"/>
      <sheetData sheetId="1032"/>
      <sheetData sheetId="1033"/>
      <sheetData sheetId="1034" refreshError="1"/>
      <sheetData sheetId="1035"/>
      <sheetData sheetId="1036"/>
      <sheetData sheetId="1037" refreshError="1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 refreshError="1"/>
    </sheetDataSet>
  </externalBook>
</externalLink>
</file>

<file path=xl/externalLinks/externalLink47.xml><?xml version="1.0" encoding="utf-8"?>
<externalLink xmlns:r="http://schemas.openxmlformats.org/officeDocument/2006/relationships" xmlns="http://schemas.openxmlformats.org/spreadsheetml/2006/main">
  <externalBook r:id="rId1">
    <sheetNames>
      <sheetName val="賞与引当2002"/>
      <sheetName val="昨対"/>
      <sheetName val="RD9501V"/>
      <sheetName val="賞与引当2002.xls"/>
      <sheetName val="RD9505A"/>
      <sheetName val="%E8%B3%9E%E4%B8%8E%E5%BC%95%E5%"/>
      <sheetName val="11wG部門ﾗﾝｷﾝｸﾞ"/>
      <sheetName val="#REF"/>
      <sheetName val="入金実96"/>
      <sheetName val="与信管理帳合"/>
      <sheetName val="粗利率順Wﾁｪｯｸ表"/>
      <sheetName val="入力シート"/>
      <sheetName val="ﾃﾞｰ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8.xml><?xml version="1.0" encoding="utf-8"?>
<externalLink xmlns:r="http://schemas.openxmlformats.org/officeDocument/2006/relationships" xmlns="http://schemas.openxmlformats.org/spreadsheetml/2006/main">
  <externalBook r:id="rId1">
    <sheetNames>
      <sheetName val="表紙"/>
      <sheetName val="改版履歴"/>
      <sheetName val="テスト成績書"/>
      <sheetName val="試験観点"/>
      <sheetName val="運転者管理"/>
      <sheetName val="WebAPI確認"/>
      <sheetName val="エビデンス"/>
      <sheetName val="m_drivers(設定値)"/>
    </sheetNames>
    <sheetDataSet>
      <sheetData sheetId="0"/>
      <sheetData sheetId="1"/>
      <sheetData sheetId="2"/>
      <sheetData sheetId="3"/>
      <sheetData sheetId="4">
        <row r="3">
          <cell r="R3" t="str">
            <v>システム管理者</v>
          </cell>
        </row>
        <row r="4">
          <cell r="R4" t="str">
            <v>アイリスサポート管理者</v>
          </cell>
        </row>
        <row r="5">
          <cell r="R5" t="str">
            <v>管理者</v>
          </cell>
        </row>
        <row r="6">
          <cell r="R6" t="str">
            <v>拠点管理者</v>
          </cell>
        </row>
      </sheetData>
      <sheetData sheetId="5"/>
      <sheetData sheetId="6"/>
      <sheetData sheetId="7"/>
    </sheetDataSet>
  </externalBook>
</externalLink>
</file>

<file path=xl/externalLinks/externalLink49.xml><?xml version="1.0" encoding="utf-8"?>
<externalLink xmlns:r="http://schemas.openxmlformats.org/officeDocument/2006/relationships" xmlns="http://schemas.openxmlformats.org/spreadsheetml/2006/main">
  <externalBook r:id="rId1">
    <sheetNames>
      <sheetName val="13年度発生売上予算"/>
      <sheetName val="H13"/>
      <sheetName val="H12"/>
      <sheetName val="H11"/>
      <sheetName val="H10"/>
      <sheetName val="H9"/>
      <sheetName val="RD9501V"/>
      <sheetName val="#REF"/>
      <sheetName val="提供用EXCEL"/>
      <sheetName val="入力"/>
      <sheetName val="一覧表"/>
      <sheetName val="提出用EXCEL"/>
      <sheetName val="バックデータ"/>
      <sheetName val="010"/>
      <sheetName val="図8"/>
      <sheetName val="表3"/>
      <sheetName val="PAK6263"/>
      <sheetName val="商品一覧表"/>
      <sheetName val="検査結果一覧(日本受入)"/>
      <sheetName val="商品形名表"/>
      <sheetName val="商品"/>
      <sheetName val="ｽﾀｰﾄﾎﾞﾀﾝ"/>
      <sheetName val="5月"/>
      <sheetName val="Sheet1"/>
      <sheetName val="ﾃﾞ-ﾀ-"/>
      <sheetName val="生データ"/>
      <sheetName val="リスト"/>
      <sheetName val="比較ヘッダー"/>
      <sheetName val="布団乾燥機ｐｐｍ"/>
      <sheetName val="全合計"/>
      <sheetName val="中国不良まとめ"/>
      <sheetName val=""/>
      <sheetName val="A"/>
      <sheetName val="HQ"/>
      <sheetName val="GSV目標"/>
      <sheetName val="43"/>
      <sheetName val="HE(他）"/>
      <sheetName val="NEW95G2"/>
      <sheetName val="住所録"/>
      <sheetName val="稼働率グラフ（立体）"/>
      <sheetName val="更新版"/>
      <sheetName val="SBプラ鉢"/>
      <sheetName val="SKU"/>
      <sheetName val="昨対"/>
      <sheetName val="RD9505A"/>
      <sheetName val="Ｃ’表"/>
      <sheetName val="事業部"/>
      <sheetName val="品種別計画表〈予算）"/>
      <sheetName val="元データー"/>
      <sheetName val="ｱﾐｸﾚｰﾑ"/>
      <sheetName val="11wG部門ﾗﾝｷﾝｸﾞ"/>
      <sheetName val="管理引当"/>
      <sheetName val="支給品一覧表"/>
      <sheetName val="鉢"/>
      <sheetName val="単価は最低納価使用"/>
      <sheetName val="Wﾁｪｯｸ表"/>
      <sheetName val="与信一覧"/>
      <sheetName val="Sheet1 (2)"/>
      <sheetName val="板資材(M)"/>
      <sheetName val="見本 全件リスト"/>
      <sheetName val="設定"/>
      <sheetName val="改廃一覧社外秘"/>
      <sheetName val="０５３合計"/>
      <sheetName val="11. Keibai"/>
      <sheetName val="ﾃﾞｰﾀ"/>
      <sheetName val="入金実96"/>
      <sheetName val="原本"/>
      <sheetName val="比較表"/>
      <sheetName val="ﾄﾞｯﾄｺﾑ"/>
      <sheetName val="通話時間ログ"/>
      <sheetName val="全集計"/>
      <sheetName val="与信ｵｰﾊﾞｰ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4.5"/>
  <cols>
    <col width="16.453125" customWidth="1" min="2" max="2"/>
    <col width="16.26953125" bestFit="1" customWidth="1" min="3" max="3"/>
    <col width="15.81640625" customWidth="1" min="4" max="4"/>
  </cols>
  <sheetData>
    <row r="1" ht="15" customHeight="1" thickBot="1">
      <c r="A1" t="inlineStr">
        <is>
          <t>Sample Project</t>
        </is>
      </c>
    </row>
    <row r="2" ht="15" customHeight="1" thickBot="1">
      <c r="B2" s="47" t="inlineStr">
        <is>
          <t>項目</t>
        </is>
      </c>
      <c r="C2" s="47" t="inlineStr">
        <is>
          <t>人月</t>
        </is>
      </c>
      <c r="D2" s="48" t="inlineStr">
        <is>
          <t>金額</t>
        </is>
      </c>
    </row>
    <row r="3">
      <c r="B3" s="42" t="inlineStr">
        <is>
          <t>開発</t>
        </is>
      </c>
      <c r="C3" s="151">
        <f>詳細見積_マスタと予実比較!P$26</f>
        <v/>
      </c>
      <c r="D3" s="49">
        <f>詳細見積_マスタと予実比較!O24</f>
        <v/>
      </c>
    </row>
    <row r="4">
      <c r="B4" s="43" t="inlineStr">
        <is>
          <t>管理</t>
        </is>
      </c>
      <c r="C4" s="152">
        <f>詳細見積_マスタと予実比較!P$27</f>
        <v/>
      </c>
      <c r="D4" s="50">
        <f>SUM(詳細見積_マスタと予実比較!O$18:O$19)</f>
        <v/>
      </c>
    </row>
    <row r="5">
      <c r="B5" s="43" t="inlineStr">
        <is>
          <t>開発費小計</t>
        </is>
      </c>
      <c r="C5" s="152">
        <f>SUM(C3:C4)</f>
        <v/>
      </c>
      <c r="D5" s="50">
        <f>SUM(D3:D4)</f>
        <v/>
      </c>
    </row>
    <row r="6">
      <c r="B6" s="44" t="inlineStr">
        <is>
          <t>ミャンマー税金</t>
        </is>
      </c>
      <c r="C6" s="153" t="n"/>
      <c r="D6" s="50">
        <f>$D5*0.05</f>
        <v/>
      </c>
    </row>
    <row r="7" ht="15" customHeight="1">
      <c r="B7" s="45" t="inlineStr">
        <is>
          <t>小計</t>
        </is>
      </c>
      <c r="C7" s="154" t="n"/>
      <c r="D7" s="50">
        <f>SUM(D5:D6)</f>
        <v/>
      </c>
    </row>
    <row r="8" ht="15.5" customHeight="1" thickBot="1">
      <c r="B8" s="46" t="inlineStr">
        <is>
          <t>合計</t>
        </is>
      </c>
      <c r="C8" s="155" t="n"/>
      <c r="D8" s="51">
        <f>SUM(D7:D7)</f>
        <v/>
      </c>
    </row>
  </sheetData>
  <mergeCells count="1">
    <mergeCell ref="C6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2:S120"/>
  <sheetViews>
    <sheetView showGridLines="0" tabSelected="1" zoomScale="95" zoomScaleNormal="115" workbookViewId="0">
      <pane xSplit="5" ySplit="3" topLeftCell="F13" activePane="bottomRight" state="frozen"/>
      <selection pane="topRight" activeCell="E1" sqref="E1"/>
      <selection pane="bottomLeft" activeCell="A4" sqref="A4"/>
      <selection pane="bottomRight" activeCell="N2" sqref="N2:N3"/>
    </sheetView>
  </sheetViews>
  <sheetFormatPr baseColWidth="8" defaultColWidth="8.81640625" defaultRowHeight="15"/>
  <cols>
    <col width="4.7265625" customWidth="1" style="1" min="1" max="1"/>
    <col width="2.81640625" customWidth="1" style="15" min="2" max="2"/>
    <col width="23.26953125" customWidth="1" style="88" min="3" max="3"/>
    <col width="30.26953125" customWidth="1" style="84" min="4" max="4"/>
    <col width="72.90625" customWidth="1" style="27" min="5" max="5"/>
    <col width="29.1796875" customWidth="1" style="16" min="6" max="6"/>
    <col hidden="1" width="13.81640625" customWidth="1" style="1" min="7" max="7"/>
    <col width="10.1796875" customWidth="1" style="1" min="8" max="10"/>
    <col width="10.1796875" customWidth="1" style="16" min="11" max="13"/>
    <col width="16.26953125" bestFit="1" customWidth="1" style="16" min="14" max="14"/>
    <col width="14.81640625" bestFit="1" customWidth="1" style="1" min="15" max="15"/>
    <col width="50.1796875" customWidth="1" style="29" min="16" max="16"/>
    <col width="3.81640625" customWidth="1" style="1" min="17" max="17"/>
    <col width="13.26953125" customWidth="1" style="1" min="18" max="18"/>
    <col width="18.26953125" customWidth="1" style="1" min="19" max="19"/>
    <col width="8.81640625" customWidth="1" style="1" min="20" max="16384"/>
  </cols>
  <sheetData>
    <row r="2" ht="15" customHeight="1">
      <c r="A2" s="139" t="inlineStr">
        <is>
          <t>No.</t>
        </is>
      </c>
      <c r="B2" s="38" t="n"/>
      <c r="C2" s="156" t="inlineStr">
        <is>
          <t>区分</t>
        </is>
      </c>
      <c r="D2" s="80" t="inlineStr">
        <is>
          <t>項目</t>
        </is>
      </c>
      <c r="E2" s="139" t="inlineStr">
        <is>
          <t>作業詳細</t>
        </is>
      </c>
      <c r="F2" s="157" t="inlineStr">
        <is>
          <t>優先度/難易度</t>
        </is>
      </c>
      <c r="G2" s="139" t="inlineStr">
        <is>
          <t>ステータス</t>
        </is>
      </c>
      <c r="H2" s="158" t="inlineStr">
        <is>
          <t>工数（人時間）</t>
        </is>
      </c>
      <c r="I2" s="159" t="n"/>
      <c r="J2" s="159" t="n"/>
      <c r="K2" s="159" t="n"/>
      <c r="L2" s="159" t="n"/>
      <c r="M2" s="160" t="n"/>
      <c r="N2" s="161" t="inlineStr">
        <is>
          <t>合計
工数</t>
        </is>
      </c>
      <c r="O2" s="161" t="inlineStr">
        <is>
          <t>合計
金額</t>
        </is>
      </c>
      <c r="P2" s="162" t="inlineStr">
        <is>
          <t>備考</t>
        </is>
      </c>
      <c r="R2" s="65" t="inlineStr">
        <is>
          <t>作業項目</t>
        </is>
      </c>
      <c r="S2" s="163" t="inlineStr">
        <is>
          <t>単価</t>
        </is>
      </c>
    </row>
    <row r="3">
      <c r="A3" s="164" t="n"/>
      <c r="B3" s="39" t="n"/>
      <c r="C3" s="164" t="n"/>
      <c r="D3" s="81" t="n"/>
      <c r="E3" s="164" t="n"/>
      <c r="F3" s="165" t="n"/>
      <c r="G3" s="164" t="n"/>
      <c r="H3" s="140" t="inlineStr">
        <is>
          <t>要件定義</t>
        </is>
      </c>
      <c r="I3" s="140" t="inlineStr">
        <is>
          <t>設計</t>
        </is>
      </c>
      <c r="J3" s="140" t="inlineStr">
        <is>
          <t>開発</t>
        </is>
      </c>
      <c r="K3" s="140" t="inlineStr">
        <is>
          <t>テスト</t>
        </is>
      </c>
      <c r="L3" s="140" t="inlineStr">
        <is>
          <t>クラウド対応</t>
        </is>
      </c>
      <c r="M3" s="140" t="inlineStr">
        <is>
          <t>その他</t>
        </is>
      </c>
      <c r="N3" s="164" t="n"/>
      <c r="O3" s="164" t="n"/>
      <c r="P3" s="164" t="n"/>
      <c r="R3" s="69" t="inlineStr">
        <is>
          <t>要件定義</t>
        </is>
      </c>
      <c r="S3" s="166" t="n">
        <v>4000</v>
      </c>
    </row>
    <row r="4" ht="17.5" customHeight="1">
      <c r="A4" s="57" t="n"/>
      <c r="B4" s="136" t="inlineStr">
        <is>
          <t>ユーザマスタ</t>
        </is>
      </c>
      <c r="C4" s="159" t="n"/>
      <c r="D4" s="159" t="n"/>
      <c r="E4" s="160" t="n"/>
      <c r="F4" s="32" t="n"/>
      <c r="G4" s="33" t="n"/>
      <c r="H4" s="34">
        <f>SUM(H5:H6)</f>
        <v/>
      </c>
      <c r="I4" s="34">
        <f>SUM(I5:I6)</f>
        <v/>
      </c>
      <c r="J4" s="34">
        <f>SUM(J5:J6)</f>
        <v/>
      </c>
      <c r="K4" s="34">
        <f>SUM(K5:K6)</f>
        <v/>
      </c>
      <c r="L4" s="34">
        <f>SUM(L5:L6)</f>
        <v/>
      </c>
      <c r="M4" s="34">
        <f>SUM(M5:M6)</f>
        <v/>
      </c>
      <c r="N4" s="34">
        <f>SUM(N5:N6)</f>
        <v/>
      </c>
      <c r="O4" s="167">
        <f>SUM(O5:O6)</f>
        <v/>
      </c>
      <c r="P4" s="36" t="n"/>
      <c r="R4" s="69" t="inlineStr">
        <is>
          <t>設計、事前調査</t>
        </is>
      </c>
      <c r="S4" s="166" t="n">
        <v>2000</v>
      </c>
    </row>
    <row r="5" ht="30" customHeight="1">
      <c r="A5" s="57">
        <f>ROW()-4</f>
        <v/>
      </c>
      <c r="B5" s="93" t="n"/>
      <c r="C5" s="101" t="inlineStr">
        <is>
          <t>Sample Category 1</t>
        </is>
      </c>
      <c r="D5" s="95" t="inlineStr">
        <is>
          <t>Sample Function 1</t>
        </is>
      </c>
      <c r="E5" s="128" t="inlineStr">
        <is>
          <t>Sample task detail 1.</t>
        </is>
      </c>
      <c r="F5" s="93" t="n"/>
      <c r="G5" s="96" t="n"/>
      <c r="H5" s="97" t="n"/>
      <c r="I5" s="97" t="n"/>
      <c r="J5" s="97" t="n">
        <v>8</v>
      </c>
      <c r="K5" s="97" t="n">
        <v>4</v>
      </c>
      <c r="L5" s="97" t="n"/>
      <c r="M5" s="97" t="n"/>
      <c r="N5" s="98">
        <f>SUM(H5:M5)</f>
        <v/>
      </c>
      <c r="O5" s="168">
        <f>(H5*S$3)+(I5*S$4)+(J5*S$5)+(K5*S$6)+(L5*S$7)+(M5*S$8)</f>
        <v/>
      </c>
      <c r="P5" s="100" t="n"/>
      <c r="R5" s="69" t="inlineStr">
        <is>
          <t>開発</t>
        </is>
      </c>
      <c r="S5" s="166" t="n">
        <v>2000</v>
      </c>
    </row>
    <row r="6">
      <c r="A6" s="101">
        <f>ROW()-4</f>
        <v/>
      </c>
      <c r="B6" s="102" t="n"/>
      <c r="C6" s="87" t="n"/>
      <c r="D6" s="82" t="n"/>
      <c r="E6" s="53" t="n"/>
      <c r="F6" s="60" t="n"/>
      <c r="G6" s="61" t="n"/>
      <c r="H6" s="54" t="n"/>
      <c r="I6" s="54" t="n"/>
      <c r="J6" s="54" t="n"/>
      <c r="K6" s="54" t="n"/>
      <c r="L6" s="62" t="n"/>
      <c r="M6" s="62" t="n"/>
      <c r="N6" s="89" t="n"/>
      <c r="O6" s="169" t="n"/>
      <c r="P6" s="31" t="n"/>
      <c r="R6" s="71" t="inlineStr">
        <is>
          <t>テスト</t>
        </is>
      </c>
      <c r="S6" s="166" t="n">
        <v>1000</v>
      </c>
    </row>
    <row r="7">
      <c r="A7" s="76">
        <f>ROW()-4</f>
        <v/>
      </c>
      <c r="B7" s="138" t="inlineStr">
        <is>
          <t>部署マスター</t>
        </is>
      </c>
      <c r="C7" s="165" t="n"/>
      <c r="D7" s="104" t="n"/>
      <c r="E7" s="105" t="n"/>
      <c r="F7" s="106" t="n"/>
      <c r="G7" s="107" t="n"/>
      <c r="H7" s="108">
        <f>SUM(H8:H9)</f>
        <v/>
      </c>
      <c r="I7" s="108">
        <f>SUM(I8:I9)</f>
        <v/>
      </c>
      <c r="J7" s="108">
        <f>SUM(J8:J9)</f>
        <v/>
      </c>
      <c r="K7" s="108">
        <f>SUM(K8:K9)</f>
        <v/>
      </c>
      <c r="L7" s="108">
        <f>SUM(L8:L9)</f>
        <v/>
      </c>
      <c r="M7" s="108">
        <f>SUM(M8:M9)</f>
        <v/>
      </c>
      <c r="N7" s="108">
        <f>SUM(N8:N9)</f>
        <v/>
      </c>
      <c r="O7" s="170">
        <f>SUM(O8:O9)</f>
        <v/>
      </c>
      <c r="P7" s="110" t="n"/>
      <c r="R7" s="69" t="inlineStr">
        <is>
          <t>クラウド対応</t>
        </is>
      </c>
      <c r="S7" s="166" t="n">
        <v>2000</v>
      </c>
    </row>
    <row r="8" ht="45" customHeight="1">
      <c r="A8" s="57">
        <f>ROW()-4</f>
        <v/>
      </c>
      <c r="B8" s="58" t="n"/>
      <c r="C8" s="55" t="inlineStr">
        <is>
          <t>Sample Category 2</t>
        </is>
      </c>
      <c r="D8" s="55" t="inlineStr">
        <is>
          <t>Sample Function 2</t>
        </is>
      </c>
      <c r="E8" s="59" t="inlineStr">
        <is>
          <t>Sample task detail 2.</t>
        </is>
      </c>
      <c r="F8" s="60" t="inlineStr">
        <is>
          <t>中</t>
        </is>
      </c>
      <c r="G8" s="61" t="n"/>
      <c r="H8" s="54" t="n">
        <v>2</v>
      </c>
      <c r="I8" s="54" t="n"/>
      <c r="J8" s="54" t="n">
        <v>4</v>
      </c>
      <c r="K8" s="54" t="n">
        <v>2</v>
      </c>
      <c r="L8" s="62" t="n"/>
      <c r="M8" s="62" t="n"/>
      <c r="N8" s="111">
        <f>SUM(H8:M8)</f>
        <v/>
      </c>
      <c r="O8" s="171">
        <f>(H8*S$3)+(I8*S$4)+(J8*S$5)+(K8*S$6)+(L8*S$7)+(M8*S$8)</f>
        <v/>
      </c>
      <c r="P8" s="82" t="n"/>
      <c r="R8" s="69" t="inlineStr">
        <is>
          <t>その他</t>
        </is>
      </c>
      <c r="S8" s="166" t="n">
        <v>2000</v>
      </c>
    </row>
    <row r="9">
      <c r="A9" s="57">
        <f>ROW()-4</f>
        <v/>
      </c>
      <c r="B9" s="58" t="n"/>
      <c r="C9" s="112" t="n"/>
      <c r="D9" s="113" t="n"/>
      <c r="E9" s="113" t="n"/>
      <c r="F9" s="114" t="n"/>
      <c r="G9" s="96" t="n"/>
      <c r="H9" s="97" t="n"/>
      <c r="I9" s="97" t="n"/>
      <c r="J9" s="97" t="n"/>
      <c r="K9" s="97" t="n"/>
      <c r="L9" s="115" t="n"/>
      <c r="M9" s="115" t="n"/>
      <c r="N9" s="116" t="n"/>
      <c r="O9" s="168" t="n"/>
      <c r="P9" s="82" t="n"/>
      <c r="R9" s="69" t="inlineStr">
        <is>
          <t>管理</t>
        </is>
      </c>
      <c r="S9" s="166" t="n">
        <v>4000</v>
      </c>
    </row>
    <row r="10">
      <c r="A10" s="57">
        <f>ROW()-4</f>
        <v/>
      </c>
      <c r="B10" s="117" t="inlineStr">
        <is>
          <t>予算実績管理</t>
        </is>
      </c>
      <c r="C10" s="118" t="n"/>
      <c r="D10" s="119" t="n"/>
      <c r="E10" s="28" t="n"/>
      <c r="F10" s="23" t="n"/>
      <c r="G10" s="3" t="n"/>
      <c r="H10" s="10">
        <f>SUM(H11:H12)</f>
        <v/>
      </c>
      <c r="I10" s="10">
        <f>SUM(I11:I12)</f>
        <v/>
      </c>
      <c r="J10" s="10">
        <f>SUM(J11:J12)</f>
        <v/>
      </c>
      <c r="K10" s="10">
        <f>SUM(K11:K12)</f>
        <v/>
      </c>
      <c r="L10" s="10">
        <f>SUM(L11:L12)</f>
        <v/>
      </c>
      <c r="M10" s="10">
        <f>SUM(M11:M12)</f>
        <v/>
      </c>
      <c r="N10" s="10">
        <f>SUM(N11:N12)</f>
        <v/>
      </c>
      <c r="O10" s="172">
        <f>SUM(O11:O12)</f>
        <v/>
      </c>
      <c r="P10" s="82" t="n"/>
      <c r="R10" s="69" t="inlineStr">
        <is>
          <t>日本人管理</t>
        </is>
      </c>
      <c r="S10" s="166" t="n">
        <v>7000</v>
      </c>
    </row>
    <row r="11" ht="60" customHeight="1">
      <c r="A11" s="57">
        <f>ROW()-4</f>
        <v/>
      </c>
      <c r="B11" s="58" t="n"/>
      <c r="C11" s="55" t="inlineStr">
        <is>
          <t>Sample Category 3</t>
        </is>
      </c>
      <c r="D11" s="59" t="inlineStr">
        <is>
          <t>Sample Function 3</t>
        </is>
      </c>
      <c r="E11" s="121" t="inlineStr">
        <is>
          <t>Sample task detail 3.</t>
        </is>
      </c>
      <c r="F11" s="122" t="n"/>
      <c r="G11" s="123" t="n"/>
      <c r="H11" s="124" t="n">
        <v>2</v>
      </c>
      <c r="I11" s="124" t="n"/>
      <c r="J11" s="124" t="n">
        <v>16</v>
      </c>
      <c r="K11" s="124" t="n">
        <v>8</v>
      </c>
      <c r="L11" s="125" t="n"/>
      <c r="M11" s="125" t="n"/>
      <c r="N11" s="126">
        <f>SUM(H11:M11)</f>
        <v/>
      </c>
      <c r="O11" s="173">
        <f>(H11*S$3)+(I11*S$4)+(J11*S$5)+(K11*S$6)+(L11*S$7)+(M11*S$8)</f>
        <v/>
      </c>
      <c r="P11" s="82" t="n"/>
    </row>
    <row r="12">
      <c r="A12" s="57">
        <f>ROW()-4</f>
        <v/>
      </c>
      <c r="B12" s="58" t="n"/>
      <c r="C12" s="87" t="n"/>
      <c r="D12" s="53" t="n"/>
      <c r="E12" s="53" t="n"/>
      <c r="F12" s="60" t="n"/>
      <c r="G12" s="61" t="n"/>
      <c r="H12" s="54" t="n"/>
      <c r="I12" s="54" t="n"/>
      <c r="J12" s="54" t="n"/>
      <c r="K12" s="54" t="n"/>
      <c r="L12" s="62" t="n"/>
      <c r="M12" s="62" t="n"/>
      <c r="N12" s="63" t="n"/>
      <c r="O12" s="171" t="n"/>
      <c r="P12" s="82" t="n"/>
    </row>
    <row r="13">
      <c r="A13" s="57">
        <f>ROW()-4</f>
        <v/>
      </c>
      <c r="B13" s="58" t="n"/>
      <c r="C13" s="87" t="n"/>
      <c r="D13" s="53" t="n"/>
      <c r="E13" s="53" t="n"/>
      <c r="F13" s="60" t="n"/>
      <c r="G13" s="61" t="n"/>
      <c r="H13" s="54" t="n"/>
      <c r="I13" s="54" t="n"/>
      <c r="J13" s="54" t="n"/>
      <c r="K13" s="54" t="n"/>
      <c r="L13" s="62" t="n"/>
      <c r="M13" s="62" t="n"/>
      <c r="N13" s="63" t="n"/>
      <c r="O13" s="171" t="n"/>
      <c r="P13" s="82" t="n"/>
    </row>
    <row r="14">
      <c r="A14" s="76">
        <f>ROW()-4</f>
        <v/>
      </c>
      <c r="B14" s="137" t="inlineStr">
        <is>
          <t>その他</t>
        </is>
      </c>
      <c r="C14" s="160" t="n"/>
      <c r="D14" s="83" t="n"/>
      <c r="E14" s="72" t="n"/>
      <c r="F14" s="73" t="n"/>
      <c r="G14" s="74" t="n"/>
      <c r="H14" s="77">
        <f>SUM(H15:H17)</f>
        <v/>
      </c>
      <c r="I14" s="77">
        <f>SUM(I15:I17)</f>
        <v/>
      </c>
      <c r="J14" s="77">
        <f>SUM(J15:J17)</f>
        <v/>
      </c>
      <c r="K14" s="77">
        <f>SUM(K15:K17)</f>
        <v/>
      </c>
      <c r="L14" s="77">
        <f>SUM(L15:L17)</f>
        <v/>
      </c>
      <c r="M14" s="77">
        <f>SUM(M15:M17)</f>
        <v/>
      </c>
      <c r="N14" s="77">
        <f>SUM(N15:N17)</f>
        <v/>
      </c>
      <c r="O14" s="174">
        <f>SUM(O15:O17)</f>
        <v/>
      </c>
      <c r="P14" s="79" t="n"/>
      <c r="R14" s="75" t="n"/>
      <c r="S14" s="75" t="n"/>
    </row>
    <row r="15" customFormat="1" s="75">
      <c r="A15" s="57">
        <f>ROW()-4</f>
        <v/>
      </c>
      <c r="B15" s="58" t="n"/>
      <c r="C15" s="87" t="inlineStr">
        <is>
          <t>Sample Category 4</t>
        </is>
      </c>
      <c r="D15" s="82" t="inlineStr">
        <is>
          <t>Sample Function 4</t>
        </is>
      </c>
      <c r="E15" s="53" t="n"/>
      <c r="F15" s="60" t="inlineStr">
        <is>
          <t>中</t>
        </is>
      </c>
      <c r="G15" s="61" t="n"/>
      <c r="H15" s="54" t="n"/>
      <c r="I15" s="54" t="n"/>
      <c r="J15" s="54" t="n"/>
      <c r="K15" s="54" t="n">
        <v>4</v>
      </c>
      <c r="L15" s="62" t="n"/>
      <c r="M15" s="62" t="n"/>
      <c r="N15" s="63">
        <f>SUM(H15:M15)</f>
        <v/>
      </c>
      <c r="O15" s="171">
        <f>(H15*S$3)+(I15*S$4)+(J15*S$5)+(K15*S$6)+(L15*S$7)+(M15*S$8)</f>
        <v/>
      </c>
      <c r="P15" s="82" t="n"/>
    </row>
    <row r="16" customFormat="1" s="75">
      <c r="A16" s="57">
        <f>ROW()-4</f>
        <v/>
      </c>
      <c r="B16" s="58" t="n"/>
      <c r="C16" s="133" t="inlineStr">
        <is>
          <t>Sample Category 5</t>
        </is>
      </c>
      <c r="D16" s="82" t="inlineStr">
        <is>
          <t>Sample Function 5</t>
        </is>
      </c>
      <c r="E16" s="53" t="inlineStr">
        <is>
          <t>Sample task detail 5.</t>
        </is>
      </c>
      <c r="F16" s="60" t="inlineStr">
        <is>
          <t>小</t>
        </is>
      </c>
      <c r="G16" s="61" t="n"/>
      <c r="H16" s="54" t="n"/>
      <c r="I16" s="54" t="n">
        <v>2</v>
      </c>
      <c r="J16" s="54" t="n"/>
      <c r="K16" s="54" t="n"/>
      <c r="L16" s="62" t="n"/>
      <c r="M16" s="62" t="n"/>
      <c r="N16" s="63">
        <f>SUM(H16:M16)</f>
        <v/>
      </c>
      <c r="O16" s="171">
        <f>(H16*S$3)+(I16*S$4)+(J16*S$5)+(K16*S$6)+(L16*S$7)+(M16*S$8)</f>
        <v/>
      </c>
      <c r="P16" s="82" t="n"/>
      <c r="R16" s="1" t="n"/>
      <c r="S16" s="1" t="n"/>
    </row>
    <row r="17">
      <c r="A17" s="57">
        <f>ROW()-4</f>
        <v/>
      </c>
      <c r="B17" s="58" t="n"/>
      <c r="C17" s="164" t="n"/>
      <c r="D17" s="82" t="inlineStr">
        <is>
          <t>Sample Function 6</t>
        </is>
      </c>
      <c r="E17" s="53" t="n"/>
      <c r="F17" s="60" t="inlineStr">
        <is>
          <t>小</t>
        </is>
      </c>
      <c r="G17" s="61" t="n"/>
      <c r="H17" s="54" t="n"/>
      <c r="I17" s="54" t="n"/>
      <c r="J17" s="54" t="n"/>
      <c r="K17" s="54" t="n">
        <v>1</v>
      </c>
      <c r="L17" s="89" t="n">
        <v>1</v>
      </c>
      <c r="M17" s="62" t="n"/>
      <c r="N17" s="63">
        <f>SUM(H17:M17)</f>
        <v/>
      </c>
      <c r="O17" s="171">
        <f>(H30*S$3)+(I30*S$4)+(J30*S$5)+(K17*S$6)+(L17*S$7)+(M30*S$8)</f>
        <v/>
      </c>
      <c r="P17" s="82" t="n"/>
    </row>
    <row r="18">
      <c r="A18" s="57">
        <f>ROW()-4</f>
        <v/>
      </c>
      <c r="B18" s="22" t="inlineStr">
        <is>
          <t>管理</t>
        </is>
      </c>
      <c r="C18" s="85" t="n"/>
      <c r="D18" s="28" t="n"/>
      <c r="E18" s="28" t="n"/>
      <c r="F18" s="23" t="n"/>
      <c r="G18" s="3" t="n"/>
      <c r="H18" s="10" t="n"/>
      <c r="I18" s="10" t="n"/>
      <c r="J18" s="10" t="n"/>
      <c r="K18" s="10" t="n"/>
      <c r="L18" s="11" t="n"/>
      <c r="M18" s="11">
        <f>N18</f>
        <v/>
      </c>
      <c r="N18" s="9">
        <f>(SUM(N4,N7,N10,N14)*20%)</f>
        <v/>
      </c>
      <c r="O18" s="175">
        <f>N18*S9</f>
        <v/>
      </c>
      <c r="P18" s="28" t="n"/>
    </row>
    <row r="19">
      <c r="A19" s="57">
        <f>ROW()-4</f>
        <v/>
      </c>
      <c r="B19" s="22" t="inlineStr">
        <is>
          <t>日本人管理（1ヶ月 16時間）</t>
        </is>
      </c>
      <c r="C19" s="86" t="n"/>
      <c r="D19" s="28" t="n"/>
      <c r="E19" s="28" t="n"/>
      <c r="F19" s="23" t="n"/>
      <c r="G19" s="3" t="n"/>
      <c r="H19" s="10" t="n"/>
      <c r="I19" s="10" t="n"/>
      <c r="J19" s="10" t="n"/>
      <c r="K19" s="10" t="n"/>
      <c r="L19" s="11" t="n"/>
      <c r="M19" s="11">
        <f>N19</f>
        <v/>
      </c>
      <c r="N19" s="9">
        <f>(SUM(N4,N7,N10,N14)*10%)</f>
        <v/>
      </c>
      <c r="O19" s="175">
        <f>N19*S10</f>
        <v/>
      </c>
      <c r="P19" s="28" t="n"/>
    </row>
    <row r="20" ht="17.5" customHeight="1">
      <c r="A20" s="57">
        <f>ROW()-4</f>
        <v/>
      </c>
      <c r="B20" s="58" t="n"/>
      <c r="C20" s="87" t="n"/>
      <c r="D20" s="53" t="n"/>
      <c r="E20" s="53" t="n"/>
      <c r="F20" s="60" t="n"/>
      <c r="G20" s="61" t="n"/>
      <c r="H20" s="54" t="n"/>
      <c r="I20" s="54" t="n"/>
      <c r="J20" s="54" t="n"/>
      <c r="K20" s="54" t="n"/>
      <c r="L20" s="62" t="n"/>
      <c r="M20" s="62" t="n"/>
      <c r="N20" s="63">
        <f>SUM(H20:M20)</f>
        <v/>
      </c>
      <c r="O20" s="171">
        <f>(H20*S$3)+(I20*S$4)+(J20*S$7)+(K20*S$8)+(L20*S$9)+(M20*S120)</f>
        <v/>
      </c>
      <c r="P20" s="53" t="n"/>
    </row>
    <row r="21" ht="17.5" customHeight="1">
      <c r="A21" s="57">
        <f>ROW()-4</f>
        <v/>
      </c>
      <c r="B21" s="58" t="n"/>
      <c r="C21" s="87" t="n"/>
      <c r="D21" s="53" t="n"/>
      <c r="E21" s="53" t="n"/>
      <c r="F21" s="60" t="n"/>
      <c r="G21" s="61" t="n"/>
      <c r="H21" s="54" t="n"/>
      <c r="I21" s="54" t="n"/>
      <c r="J21" s="54" t="n"/>
      <c r="K21" s="54" t="n"/>
      <c r="L21" s="62" t="n"/>
      <c r="M21" s="62" t="n"/>
      <c r="N21" s="63">
        <f>SUM(H21:M21)</f>
        <v/>
      </c>
      <c r="O21" s="171">
        <f>(H21*S$3)+(I21*S$4)+(J21*S$7)+(K21*S$8)+(L21*S$9)+(M21*S121)</f>
        <v/>
      </c>
      <c r="P21" s="53" t="n"/>
    </row>
    <row r="22" ht="17.5" customHeight="1">
      <c r="A22" s="57">
        <f>ROW()-4</f>
        <v/>
      </c>
      <c r="B22" s="58" t="n"/>
      <c r="C22" s="87" t="n"/>
      <c r="D22" s="53" t="n"/>
      <c r="E22" s="53" t="n"/>
      <c r="F22" s="60" t="n"/>
      <c r="G22" s="61" t="n"/>
      <c r="H22" s="54" t="n"/>
      <c r="I22" s="54" t="n"/>
      <c r="J22" s="54" t="n"/>
      <c r="K22" s="54" t="n"/>
      <c r="L22" s="62" t="n"/>
      <c r="M22" s="62" t="n"/>
      <c r="N22" s="63">
        <f>SUM(H22:M22)</f>
        <v/>
      </c>
      <c r="O22" s="171">
        <f>(H22*S$3)+(I22*S$4)+(J22*S$7)+(K22*S$8)+(L22*S$9)+(M22*S122)</f>
        <v/>
      </c>
      <c r="P22" s="53" t="n"/>
    </row>
    <row r="23" ht="17.5" customHeight="1" thickBot="1">
      <c r="A23" s="57">
        <f>ROW()-4</f>
        <v/>
      </c>
      <c r="B23" s="12" t="n"/>
      <c r="C23" s="87" t="n"/>
      <c r="D23" s="53" t="n"/>
      <c r="E23" s="53" t="n"/>
      <c r="F23" s="60" t="n"/>
      <c r="G23" s="61" t="n"/>
      <c r="H23" s="54" t="n"/>
      <c r="I23" s="54" t="n"/>
      <c r="J23" s="54" t="n"/>
      <c r="K23" s="54" t="n"/>
      <c r="L23" s="62" t="n"/>
      <c r="M23" s="62" t="n"/>
      <c r="N23" s="63">
        <f>SUM(H23:M23)</f>
        <v/>
      </c>
      <c r="O23" s="171">
        <f>(H23*S$3)+(I23*S$4)+(J23*S$7)+(K23*S$8)+(L23*S$9)+(M23*S123)</f>
        <v/>
      </c>
      <c r="P23" s="82" t="n"/>
    </row>
    <row r="24" ht="17.5" customHeight="1" thickBot="1">
      <c r="A24" s="57">
        <f>ROW()-4</f>
        <v/>
      </c>
      <c r="B24" s="132" t="inlineStr">
        <is>
          <t>開発</t>
        </is>
      </c>
      <c r="C24" s="176" t="n"/>
      <c r="D24" s="176" t="n"/>
      <c r="E24" s="176" t="n"/>
      <c r="F24" s="24" t="n"/>
      <c r="G24" s="13" t="n"/>
      <c r="H24" s="14">
        <f>H4+H7+H10+H14</f>
        <v/>
      </c>
      <c r="I24" s="14">
        <f>I4+I7+I10+I14</f>
        <v/>
      </c>
      <c r="J24" s="14">
        <f>J4+J7+J10+J14</f>
        <v/>
      </c>
      <c r="K24" s="14">
        <f>K4+K7+K10+K14</f>
        <v/>
      </c>
      <c r="L24" s="14">
        <f>L4+L7+L10+L14</f>
        <v/>
      </c>
      <c r="M24" s="14">
        <f>M4+M7+M10+M14</f>
        <v/>
      </c>
      <c r="N24" s="14">
        <f>N4+N7+N10+N14</f>
        <v/>
      </c>
      <c r="O24" s="177">
        <f>O4+O7+O10+O14</f>
        <v/>
      </c>
      <c r="P24" s="30" t="n"/>
    </row>
    <row r="25" ht="17.5" customHeight="1" thickBot="1">
      <c r="A25" s="57">
        <f>ROW()-4</f>
        <v/>
      </c>
      <c r="B25" s="132" t="inlineStr">
        <is>
          <t>開発＋管理</t>
        </is>
      </c>
      <c r="C25" s="176" t="n"/>
      <c r="D25" s="176" t="n"/>
      <c r="E25" s="176" t="n"/>
      <c r="F25" s="24" t="n"/>
      <c r="G25" s="13" t="n"/>
      <c r="H25" s="14">
        <f>H4+H7+H10+H14+H18+H19</f>
        <v/>
      </c>
      <c r="I25" s="14">
        <f>I4+I7+I10+I14+I18+I19</f>
        <v/>
      </c>
      <c r="J25" s="14">
        <f>J4+J7+J10+J14+J18+J19</f>
        <v/>
      </c>
      <c r="K25" s="14">
        <f>K4+K7+K10+K14+K18+K19</f>
        <v/>
      </c>
      <c r="L25" s="14">
        <f>L4+L7+L10+L14+L18+L19</f>
        <v/>
      </c>
      <c r="M25" s="14">
        <f>M4+M7+M10+M14+M18+M19</f>
        <v/>
      </c>
      <c r="N25" s="14">
        <f>N4+N7+N10+N19+N18+N14</f>
        <v/>
      </c>
      <c r="O25" s="177">
        <f>O4+O7+O10+O14+O18+O19</f>
        <v/>
      </c>
      <c r="P25" s="30" t="n"/>
    </row>
    <row r="26" ht="17.5" customHeight="1">
      <c r="M26" s="16" t="inlineStr">
        <is>
          <t>開発</t>
        </is>
      </c>
      <c r="N26" s="17">
        <f>N24/8</f>
        <v/>
      </c>
      <c r="O26" s="18" t="inlineStr">
        <is>
          <t>人日</t>
        </is>
      </c>
      <c r="P26" s="178">
        <f>ROUND(N26/20,2)</f>
        <v/>
      </c>
    </row>
    <row r="27" ht="17.5" customHeight="1">
      <c r="M27" s="16" t="inlineStr">
        <is>
          <t>管理</t>
        </is>
      </c>
      <c r="N27" s="16">
        <f>(N18+N19)/8</f>
        <v/>
      </c>
      <c r="O27" s="18" t="inlineStr">
        <is>
          <t>人日</t>
        </is>
      </c>
      <c r="P27" s="178">
        <f>ROUND(N27/20,2)</f>
        <v/>
      </c>
    </row>
    <row r="28" ht="17.5" customHeight="1">
      <c r="N28" s="41" t="inlineStr">
        <is>
          <t>ミャンマー税金</t>
        </is>
      </c>
      <c r="O28" s="179">
        <f>ROUND(O25*0.05,0)</f>
        <v/>
      </c>
    </row>
    <row r="29" ht="17.5" customHeight="1">
      <c r="N29" s="41" t="inlineStr">
        <is>
          <t>日本本社管理費用</t>
        </is>
      </c>
      <c r="O29" s="179" t="n"/>
    </row>
    <row r="30" ht="17.5" customHeight="1">
      <c r="N30" s="60" t="inlineStr">
        <is>
          <t>小計</t>
        </is>
      </c>
      <c r="O30" s="179">
        <f>O25+O28+O29</f>
        <v/>
      </c>
    </row>
    <row r="31" ht="17.5" customHeight="1">
      <c r="N31" s="60" t="inlineStr">
        <is>
          <t>日本消費税</t>
        </is>
      </c>
      <c r="O31" s="179" t="n"/>
    </row>
    <row r="32" ht="17.5" customHeight="1">
      <c r="N32" s="60" t="inlineStr">
        <is>
          <t>合計</t>
        </is>
      </c>
      <c r="O32" s="179">
        <f>O30+O31</f>
        <v/>
      </c>
    </row>
    <row r="33" ht="17.5" customHeight="1"/>
    <row r="34" ht="17.5" customHeight="1"/>
    <row r="35" ht="17.5" customHeight="1"/>
    <row r="36" ht="17.5" customHeight="1"/>
    <row r="37" ht="17.5" customHeight="1"/>
    <row r="38" ht="17.5" customHeight="1"/>
    <row r="39" ht="17.5" customHeight="1"/>
    <row r="40" ht="17.5" customHeight="1"/>
    <row r="41" ht="17.5" customHeight="1"/>
    <row r="42" ht="17.5" customHeight="1"/>
    <row r="43" ht="17.5" customHeight="1"/>
    <row r="44" ht="17.5" customHeight="1"/>
    <row r="45" ht="17.5" customHeight="1"/>
    <row r="46" ht="17.5" customHeight="1"/>
    <row r="47" ht="17.5" customHeight="1"/>
    <row r="48" ht="17.5" customHeight="1"/>
    <row r="50" ht="17.5" customHeight="1"/>
    <row r="51" ht="17.5" customHeight="1"/>
    <row r="52" ht="17.5" customHeight="1"/>
    <row r="53" ht="17.5" customHeight="1"/>
    <row r="54" ht="17.5" customHeight="1"/>
    <row r="55" ht="17.5" customHeight="1"/>
    <row r="56" ht="17.5" customHeight="1"/>
    <row r="57" ht="17.5" customHeight="1"/>
    <row r="58" ht="17.5" customHeight="1"/>
    <row r="59" ht="17.5" customHeight="1"/>
    <row r="60" ht="17.5" customHeight="1"/>
    <row r="61" ht="17.5" customHeight="1"/>
    <row r="62" ht="17.5" customHeight="1"/>
    <row r="63" ht="17.5" customHeight="1"/>
    <row r="64" ht="17.5" customHeight="1"/>
    <row r="65" ht="17.5" customHeight="1"/>
    <row r="66" ht="17.5" customHeight="1"/>
    <row r="67" ht="17.5" customHeight="1"/>
    <row r="68" ht="17.5" customHeight="1"/>
    <row r="69" ht="17.5" customHeight="1"/>
    <row r="70" ht="17.5" customHeight="1"/>
    <row r="71" ht="17.5" customHeight="1"/>
    <row r="72" ht="17.5" customHeight="1"/>
    <row r="73" ht="17.5" customHeight="1"/>
    <row r="74" ht="17.5" customHeight="1"/>
    <row r="75" ht="17.5" customHeight="1"/>
    <row r="76" ht="17.5" customHeight="1"/>
    <row r="77" ht="17.5" customHeight="1"/>
    <row r="78" ht="17.5" customHeight="1"/>
    <row r="79" ht="17.5" customHeight="1"/>
    <row r="80" ht="17.5" customHeight="1"/>
    <row r="81" ht="17.5" customHeight="1"/>
    <row r="82" ht="17.5" customHeight="1"/>
    <row r="83" ht="17.5" customHeight="1"/>
    <row r="84" ht="17.5" customHeight="1"/>
    <row r="85" ht="17.5" customHeight="1"/>
    <row r="86" ht="34.9" customHeight="1"/>
    <row r="87" ht="34.9" customHeight="1"/>
    <row r="88" ht="34.9" customHeight="1"/>
    <row r="89" ht="34.9" customHeight="1"/>
    <row r="90" ht="34.9" customHeight="1"/>
    <row r="91" ht="34.9" customHeight="1"/>
    <row r="92" ht="34.9" customHeight="1"/>
    <row r="93" ht="34.9" customHeight="1"/>
    <row r="94" ht="34.9" customHeight="1"/>
    <row r="95" ht="34.9" customHeight="1"/>
    <row r="96" ht="34.9" customHeight="1"/>
    <row r="97" ht="34.9" customHeight="1"/>
    <row r="98" ht="34.9" customHeight="1"/>
    <row r="99" ht="34.9" customHeight="1"/>
    <row r="100" ht="17.5" customHeight="1"/>
    <row r="101" ht="17.5" customHeight="1"/>
    <row r="102" ht="17.5" customHeight="1">
      <c r="R102" s="37" t="n"/>
      <c r="S102" s="37" t="n"/>
    </row>
    <row r="103" ht="28.15" customHeight="1"/>
    <row r="106" customFormat="1" s="37">
      <c r="A106" s="1" t="n"/>
      <c r="B106" s="15" t="n"/>
      <c r="C106" s="88" t="n"/>
      <c r="D106" s="84" t="n"/>
      <c r="E106" s="27" t="n"/>
      <c r="F106" s="16" t="n"/>
      <c r="G106" s="1" t="n"/>
      <c r="H106" s="1" t="n"/>
      <c r="I106" s="1" t="n"/>
      <c r="J106" s="1" t="n"/>
      <c r="K106" s="16" t="n"/>
      <c r="L106" s="16" t="n"/>
      <c r="M106" s="16" t="n"/>
      <c r="N106" s="16" t="n"/>
      <c r="O106" s="1" t="n"/>
      <c r="P106" s="29" t="n"/>
      <c r="R106" s="1" t="n"/>
      <c r="S106" s="1" t="n"/>
    </row>
    <row r="109" ht="17.5" customHeight="1"/>
    <row r="110" ht="17.5" customHeight="1"/>
    <row r="111" ht="17.5" customHeight="1"/>
    <row r="112" ht="17.5" customHeight="1"/>
    <row r="113" ht="17.5" customHeight="1"/>
    <row r="114" ht="17.5" customHeight="1"/>
    <row r="115" ht="17.5" customHeight="1"/>
    <row r="116" ht="17.5" customHeight="1"/>
    <row r="117" ht="17.5" customHeight="1"/>
    <row r="118" ht="21.65" customHeight="1"/>
    <row r="119"/>
    <row r="120"/>
  </sheetData>
  <autoFilter ref="A2:P27">
    <filterColumn colId="1" hiddenButton="0" showButton="0"/>
    <filterColumn colId="2" hiddenButton="0" showButton="0"/>
    <filterColumn colId="7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</autoFilter>
  <mergeCells count="15">
    <mergeCell ref="H2:M2"/>
    <mergeCell ref="B7:C7"/>
    <mergeCell ref="B4:E4"/>
    <mergeCell ref="N2:N3"/>
    <mergeCell ref="C2:C3"/>
    <mergeCell ref="B14:C14"/>
    <mergeCell ref="O2:O3"/>
    <mergeCell ref="B25:E25"/>
    <mergeCell ref="A2:A3"/>
    <mergeCell ref="B24:E24"/>
    <mergeCell ref="C16:C17"/>
    <mergeCell ref="F2:F3"/>
    <mergeCell ref="E2:E3"/>
    <mergeCell ref="P2:P3"/>
    <mergeCell ref="G2:G3"/>
  </mergeCells>
  <dataValidations disablePrompts="1" count="1">
    <dataValidation sqref="G4:G23" showDropDown="0" showInputMessage="1" showErrorMessage="1" allowBlank="1" type="list">
      <formula1>"未定,確認中,修正中,修正済,完了,クローズ,デモリリース済,検証リリース済み,本番リリース済"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BCMM142</dc:creator>
  <dcterms:created xsi:type="dcterms:W3CDTF">2023-05-30T17:39:57Z</dcterms:created>
  <dcterms:modified xsi:type="dcterms:W3CDTF">2026-08-10T08:20:57Z</dcterms:modified>
  <cp:lastModifiedBy>BCMM146</cp:lastModifiedBy>
</cp:coreProperties>
</file>