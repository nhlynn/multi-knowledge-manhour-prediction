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3580" tabRatio="600" firstSheet="0" activeTab="0" autoFilterDateGrouping="1"/>
  </bookViews>
  <sheets>
    <sheet name="機能一覧" sheetId="1" state="visible" r:id="rId1"/>
    <sheet name="Milestone" sheetId="2" state="visible" r:id="rId2"/>
    <sheet name="工数詳細" sheetId="3" state="visible" r:id="rId3"/>
    <sheet name="工数・費用" sheetId="4" state="visible" r:id="rId4"/>
  </sheets>
  <definedNames>
    <definedName name="_xlnm._FilterDatabase" localSheetId="0" hidden="1">'機能一覧'!$D$1:$D$8</definedName>
    <definedName name="_xlnm.Print_Area" localSheetId="2">'工数詳細'!$A$1:$R$23</definedName>
  </definedNames>
  <calcPr calcId="162913" fullCalcOnLoad="1"/>
</workbook>
</file>

<file path=xl/styles.xml><?xml version="1.0" encoding="utf-8"?>
<styleSheet xmlns="http://schemas.openxmlformats.org/spreadsheetml/2006/main">
  <numFmts count="2">
    <numFmt numFmtId="164" formatCode="#,##0.000;[Red]\-#,##0.000"/>
    <numFmt numFmtId="165" formatCode="yyyy/mm"/>
  </numFmts>
  <fonts count="17">
    <font>
      <name val="Calibri"/>
      <family val="2"/>
      <color theme="1"/>
      <sz val="11"/>
      <scheme val="minor"/>
    </font>
    <font>
      <name val="Calibri Light"/>
      <family val="2"/>
      <color theme="1"/>
      <sz val="11"/>
      <scheme val="major"/>
    </font>
    <font>
      <name val="Arial"/>
      <family val="2"/>
      <color rgb="FF000000"/>
      <sz val="10"/>
    </font>
    <font>
      <name val="Calibri"/>
      <family val="2"/>
      <b val="1"/>
      <color theme="1"/>
      <sz val="14"/>
      <scheme val="minor"/>
    </font>
    <font>
      <name val="Meiryo UI"/>
      <charset val="128"/>
      <family val="3"/>
      <sz val="9"/>
    </font>
    <font>
      <name val="Meiryo"/>
      <family val="2"/>
      <color rgb="FF000000"/>
      <sz val="10"/>
    </font>
    <font>
      <name val="Meiryo"/>
      <family val="2"/>
      <color theme="1"/>
      <sz val="10"/>
    </font>
    <font>
      <name val="Meiryo"/>
      <family val="2"/>
      <sz val="10"/>
    </font>
    <font>
      <name val="Meiryo"/>
      <family val="2"/>
      <color rgb="FFFF0000"/>
      <sz val="10"/>
    </font>
    <font>
      <name val="Meiryo"/>
      <family val="2"/>
      <b val="1"/>
      <color theme="1"/>
      <sz val="10"/>
    </font>
    <font>
      <name val="Meiryo"/>
      <family val="2"/>
      <b val="1"/>
      <color rgb="FFFF0000"/>
      <sz val="10"/>
    </font>
    <font>
      <name val="Calibri"/>
      <family val="2"/>
      <color theme="1"/>
      <sz val="11"/>
      <scheme val="minor"/>
    </font>
    <font>
      <name val="Calibri"/>
      <family val="2"/>
      <color rgb="FF9C6500"/>
      <sz val="11"/>
      <scheme val="minor"/>
    </font>
    <font>
      <name val="Calibri"/>
      <family val="2"/>
      <b val="1"/>
      <color theme="1"/>
      <sz val="11"/>
      <scheme val="minor"/>
    </font>
    <font>
      <name val="Calibri"/>
      <charset val="128"/>
      <family val="3"/>
      <color theme="1"/>
      <sz val="11"/>
      <scheme val="minor"/>
    </font>
    <font>
      <name val="Calibri"/>
      <family val="2"/>
      <b val="1"/>
      <color theme="1"/>
      <sz val="11"/>
      <u val="single"/>
      <scheme val="minor"/>
    </font>
    <font>
      <name val="Calibri"/>
      <charset val="128"/>
      <family val="3"/>
      <b val="1"/>
      <color theme="1"/>
      <sz val="11"/>
      <scheme val="minor"/>
    </font>
  </fonts>
  <fills count="14">
    <fill>
      <patternFill/>
    </fill>
    <fill>
      <patternFill patternType="gray125"/>
    </fill>
    <fill>
      <patternFill patternType="solid">
        <fgColor rgb="FFCAF8FA"/>
        <bgColor indexed="64"/>
      </patternFill>
    </fill>
    <fill>
      <patternFill patternType="solid">
        <fgColor theme="8"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theme="7" tint="0.5999938962981048"/>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4" tint="0.5999938962981048"/>
        <bgColor indexed="64"/>
      </patternFill>
    </fill>
    <fill>
      <patternFill patternType="solid">
        <fgColor theme="0"/>
        <bgColor indexed="64"/>
      </patternFill>
    </fill>
    <fill>
      <patternFill patternType="solid">
        <fgColor rgb="FFCCFFCC"/>
        <bgColor indexed="64"/>
      </patternFill>
    </fill>
    <fill>
      <patternFill patternType="solid">
        <fgColor rgb="FFCCFFFF"/>
        <bgColor indexed="64"/>
      </patternFill>
    </fill>
    <fill>
      <patternFill patternType="solid">
        <fgColor rgb="FFFFC000"/>
        <bgColor indexed="64"/>
      </patternFill>
    </fill>
  </fills>
  <borders count="3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4">
    <xf numFmtId="0" fontId="11" fillId="0" borderId="0"/>
    <xf numFmtId="0" fontId="2" fillId="0" borderId="0"/>
    <xf numFmtId="41" fontId="11" fillId="0" borderId="0"/>
    <xf numFmtId="0" fontId="14" fillId="0" borderId="0" applyAlignment="1">
      <alignment vertical="center"/>
    </xf>
  </cellStyleXfs>
  <cellXfs count="113">
    <xf numFmtId="0" fontId="0" fillId="0" borderId="0" pivotButton="0" quotePrefix="0" xfId="0"/>
    <xf numFmtId="0" fontId="1" fillId="0" borderId="4" applyAlignment="1" pivotButton="0" quotePrefix="0" xfId="0">
      <alignment vertical="center" wrapText="1"/>
    </xf>
    <xf numFmtId="0" fontId="0" fillId="0" borderId="4" pivotButton="0" quotePrefix="0" xfId="0"/>
    <xf numFmtId="0" fontId="0" fillId="9" borderId="4" applyAlignment="1" pivotButton="0" quotePrefix="0" xfId="0">
      <alignment horizontal="center" vertical="center"/>
    </xf>
    <xf numFmtId="0" fontId="1" fillId="0" borderId="4" applyAlignment="1" pivotButton="0" quotePrefix="0" xfId="0">
      <alignment vertical="center"/>
    </xf>
    <xf numFmtId="0" fontId="0" fillId="0" borderId="17" applyAlignment="1" pivotButton="0" quotePrefix="0" xfId="0">
      <alignment horizontal="center" vertical="center"/>
    </xf>
    <xf numFmtId="0" fontId="0" fillId="0" borderId="3" pivotButton="0" quotePrefix="0" xfId="0"/>
    <xf numFmtId="0" fontId="0" fillId="0" borderId="17" pivotButton="0" quotePrefix="0" xfId="0"/>
    <xf numFmtId="0" fontId="0" fillId="0" borderId="2" pivotButton="0" quotePrefix="0" xfId="0"/>
    <xf numFmtId="0" fontId="0" fillId="0" borderId="19" applyAlignment="1" pivotButton="0" quotePrefix="0" xfId="0">
      <alignment horizontal="center" vertical="center"/>
    </xf>
    <xf numFmtId="0" fontId="0" fillId="0" borderId="19" pivotButton="0" quotePrefix="0" xfId="0"/>
    <xf numFmtId="0" fontId="4" fillId="0" borderId="4" applyAlignment="1" pivotButton="0" quotePrefix="0" xfId="0">
      <alignment horizontal="left" vertical="top" wrapText="1"/>
    </xf>
    <xf numFmtId="0" fontId="1" fillId="0" borderId="4" applyAlignment="1" pivotButton="0" quotePrefix="1" xfId="0">
      <alignment vertical="center"/>
    </xf>
    <xf numFmtId="0" fontId="5" fillId="6" borderId="4" applyAlignment="1" pivotButton="0" quotePrefix="0" xfId="1">
      <alignment horizontal="center" vertical="center" wrapText="1"/>
    </xf>
    <xf numFmtId="0" fontId="5" fillId="5" borderId="4" applyAlignment="1" pivotButton="0" quotePrefix="0" xfId="1">
      <alignment horizontal="center" vertical="center" wrapText="1"/>
    </xf>
    <xf numFmtId="0" fontId="5" fillId="3" borderId="4" applyAlignment="1" pivotButton="0" quotePrefix="0" xfId="1">
      <alignment horizontal="center" vertical="center" wrapText="1"/>
    </xf>
    <xf numFmtId="0" fontId="5" fillId="4" borderId="4" applyAlignment="1" pivotButton="0" quotePrefix="0" xfId="1">
      <alignment horizontal="center" vertical="center" wrapText="1"/>
    </xf>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vertical="center"/>
    </xf>
    <xf numFmtId="9" fontId="7" fillId="8" borderId="0" applyAlignment="1" pivotButton="0" quotePrefix="0" xfId="1">
      <alignment vertical="center" wrapText="1"/>
    </xf>
    <xf numFmtId="9" fontId="8" fillId="8" borderId="0" applyAlignment="1" pivotButton="0" quotePrefix="0" xfId="1">
      <alignment vertical="center" wrapText="1"/>
    </xf>
    <xf numFmtId="9" fontId="8" fillId="8" borderId="10" applyAlignment="1" pivotButton="0" quotePrefix="0" xfId="1">
      <alignment vertical="center" wrapText="1"/>
    </xf>
    <xf numFmtId="0" fontId="9" fillId="7" borderId="4" applyAlignment="1" pivotButton="0" quotePrefix="0" xfId="0">
      <alignment horizontal="center" vertical="center"/>
    </xf>
    <xf numFmtId="0" fontId="9" fillId="0" borderId="4" applyAlignment="1" pivotButton="0" quotePrefix="0" xfId="0">
      <alignment horizontal="center" vertical="center"/>
    </xf>
    <xf numFmtId="0" fontId="6" fillId="6" borderId="4" applyAlignment="1" pivotButton="0" quotePrefix="0" xfId="0">
      <alignment horizontal="center" vertical="center" wrapText="1"/>
    </xf>
    <xf numFmtId="0" fontId="6" fillId="0" borderId="4" pivotButton="0" quotePrefix="0" xfId="0"/>
    <xf numFmtId="0" fontId="6" fillId="0" borderId="9" applyAlignment="1" pivotButton="0" quotePrefix="0" xfId="0">
      <alignment vertical="center"/>
    </xf>
    <xf numFmtId="0" fontId="6" fillId="0" borderId="4" pivotButton="0" quotePrefix="1" xfId="0"/>
    <xf numFmtId="0" fontId="9" fillId="0" borderId="0" pivotButton="0" quotePrefix="0" xfId="0"/>
    <xf numFmtId="2" fontId="6" fillId="0" borderId="0" applyAlignment="1" pivotButton="0" quotePrefix="0" xfId="0">
      <alignment vertical="center"/>
    </xf>
    <xf numFmtId="2" fontId="6" fillId="0" borderId="0" applyAlignment="1" pivotButton="0" quotePrefix="0" xfId="0">
      <alignment horizontal="center" vertical="center"/>
    </xf>
    <xf numFmtId="1" fontId="6" fillId="0" borderId="0" applyAlignment="1" pivotButton="0" quotePrefix="0" xfId="0">
      <alignment vertical="center"/>
    </xf>
    <xf numFmtId="0" fontId="6" fillId="0" borderId="4" applyAlignment="1" pivotButton="0" quotePrefix="0" xfId="0">
      <alignment vertical="center"/>
    </xf>
    <xf numFmtId="0" fontId="9" fillId="0" borderId="0" applyAlignment="1" pivotButton="0" quotePrefix="0" xfId="0">
      <alignment horizontal="right"/>
    </xf>
    <xf numFmtId="0" fontId="5" fillId="8" borderId="0" applyAlignment="1" pivotButton="0" quotePrefix="0" xfId="1">
      <alignment horizontal="right" vertical="center" shrinkToFit="1"/>
    </xf>
    <xf numFmtId="2" fontId="6" fillId="0" borderId="9" applyAlignment="1" pivotButton="0" quotePrefix="0" xfId="0">
      <alignment vertical="center"/>
    </xf>
    <xf numFmtId="2" fontId="6" fillId="0" borderId="4" applyAlignment="1" pivotButton="0" quotePrefix="0" xfId="0">
      <alignment vertical="center"/>
    </xf>
    <xf numFmtId="2" fontId="6" fillId="2" borderId="8" applyAlignment="1" pivotButton="0" quotePrefix="0" xfId="0">
      <alignment vertical="center"/>
    </xf>
    <xf numFmtId="2" fontId="6" fillId="2" borderId="6" applyAlignment="1" pivotButton="0" quotePrefix="0" xfId="0">
      <alignment vertical="center"/>
    </xf>
    <xf numFmtId="2" fontId="6" fillId="2" borderId="4" applyAlignment="1" pivotButton="0" quotePrefix="0" xfId="0">
      <alignment vertical="center"/>
    </xf>
    <xf numFmtId="2" fontId="6" fillId="2" borderId="1" applyAlignment="1" pivotButton="0" quotePrefix="0" xfId="0">
      <alignment vertical="center"/>
    </xf>
    <xf numFmtId="2" fontId="10" fillId="2" borderId="1" applyAlignment="1" pivotButton="0" quotePrefix="0" xfId="0">
      <alignment vertical="center"/>
    </xf>
    <xf numFmtId="0" fontId="15" fillId="10" borderId="0" applyAlignment="1" pivotButton="0" quotePrefix="0" xfId="3">
      <alignment vertical="center"/>
    </xf>
    <xf numFmtId="0" fontId="14" fillId="10" borderId="0" applyAlignment="1" pivotButton="0" quotePrefix="0" xfId="3">
      <alignment vertical="center"/>
    </xf>
    <xf numFmtId="0" fontId="16" fillId="10" borderId="0" applyAlignment="1" pivotButton="0" quotePrefix="0" xfId="3">
      <alignment vertical="center"/>
    </xf>
    <xf numFmtId="0" fontId="14" fillId="12" borderId="22" applyAlignment="1" pivotButton="0" quotePrefix="0" xfId="3">
      <alignment horizontal="center" vertical="center"/>
    </xf>
    <xf numFmtId="0" fontId="14" fillId="12" borderId="5" applyAlignment="1" pivotButton="0" quotePrefix="0" xfId="3">
      <alignment horizontal="center" vertical="center"/>
    </xf>
    <xf numFmtId="0" fontId="14" fillId="12" borderId="23" applyAlignment="1" pivotButton="0" quotePrefix="0" xfId="3">
      <alignment horizontal="center" vertical="center"/>
    </xf>
    <xf numFmtId="0" fontId="14" fillId="13" borderId="22" applyAlignment="1" pivotButton="0" quotePrefix="0" xfId="3">
      <alignment horizontal="center" vertical="center"/>
    </xf>
    <xf numFmtId="0" fontId="14" fillId="13" borderId="23" applyAlignment="1" pivotButton="0" quotePrefix="0" xfId="3">
      <alignment horizontal="center" vertical="center"/>
    </xf>
    <xf numFmtId="0" fontId="14" fillId="10" borderId="4" applyAlignment="1" pivotButton="0" quotePrefix="0" xfId="3">
      <alignment vertical="center"/>
    </xf>
    <xf numFmtId="0" fontId="14" fillId="10" borderId="4" applyAlignment="1" pivotButton="0" quotePrefix="0" xfId="3">
      <alignment horizontal="center" vertical="center"/>
    </xf>
    <xf numFmtId="164" fontId="0" fillId="10" borderId="22" applyAlignment="1" pivotButton="0" quotePrefix="0" xfId="2">
      <alignment vertical="center"/>
    </xf>
    <xf numFmtId="41" fontId="0" fillId="10" borderId="5" applyAlignment="1" pivotButton="0" quotePrefix="0" xfId="2">
      <alignment vertical="center"/>
    </xf>
    <xf numFmtId="41" fontId="0" fillId="10" borderId="23" applyAlignment="1" pivotButton="0" quotePrefix="0" xfId="2">
      <alignment vertical="center"/>
    </xf>
    <xf numFmtId="164" fontId="13" fillId="10" borderId="22" applyAlignment="1" pivotButton="0" quotePrefix="0" xfId="2">
      <alignment vertical="center"/>
    </xf>
    <xf numFmtId="0" fontId="14" fillId="10" borderId="24" applyAlignment="1" pivotButton="0" quotePrefix="0" xfId="3">
      <alignment vertical="center"/>
    </xf>
    <xf numFmtId="164" fontId="13" fillId="13" borderId="22" applyAlignment="1" pivotButton="0" quotePrefix="0" xfId="3">
      <alignment vertical="center"/>
    </xf>
    <xf numFmtId="164" fontId="13" fillId="13" borderId="5" applyAlignment="1" pivotButton="0" quotePrefix="0" xfId="3">
      <alignment horizontal="right" vertical="center"/>
    </xf>
    <xf numFmtId="41" fontId="13" fillId="13" borderId="23" applyAlignment="1" pivotButton="0" quotePrefix="0" xfId="2">
      <alignment vertical="center"/>
    </xf>
    <xf numFmtId="0" fontId="0" fillId="0" borderId="4" applyAlignment="1" pivotButton="0" quotePrefix="0" xfId="0">
      <alignment horizontal="center"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4" applyAlignment="1" pivotButton="0" quotePrefix="0" xfId="0">
      <alignment horizontal="center"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6" applyAlignment="1" pivotButton="0" quotePrefix="0" xfId="0">
      <alignment horizontal="center"/>
    </xf>
    <xf numFmtId="0" fontId="3" fillId="0" borderId="12" applyAlignment="1" pivotButton="0" quotePrefix="0" xfId="0">
      <alignment horizontal="center" vertical="center"/>
    </xf>
    <xf numFmtId="0" fontId="3" fillId="0" borderId="13" applyAlignment="1" pivotButton="0" quotePrefix="0" xfId="0">
      <alignment horizontal="center" vertical="center"/>
    </xf>
    <xf numFmtId="0" fontId="3" fillId="0" borderId="20" applyAlignment="1" pivotButton="0" quotePrefix="0" xfId="0">
      <alignment horizontal="center" vertical="center"/>
    </xf>
    <xf numFmtId="0" fontId="3" fillId="0" borderId="15" applyAlignment="1" pivotButton="0" quotePrefix="0" xfId="0">
      <alignment horizontal="center" vertical="center"/>
    </xf>
    <xf numFmtId="0" fontId="3" fillId="0" borderId="16" applyAlignment="1" pivotButton="0" quotePrefix="0" xfId="0">
      <alignment horizontal="center" vertical="center"/>
    </xf>
    <xf numFmtId="0" fontId="3" fillId="0" borderId="21"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0" fontId="0" fillId="0" borderId="18" applyAlignment="1" pivotButton="0" quotePrefix="0" xfId="0">
      <alignment horizontal="center" vertical="center"/>
    </xf>
    <xf numFmtId="0" fontId="0" fillId="0" borderId="14" applyAlignment="1" pivotButton="0" quotePrefix="0" xfId="0">
      <alignment horizontal="center" vertical="center"/>
    </xf>
    <xf numFmtId="0" fontId="6" fillId="0" borderId="17" applyAlignment="1" pivotButton="0" quotePrefix="0" xfId="0">
      <alignment horizontal="right" vertical="center"/>
    </xf>
    <xf numFmtId="0" fontId="6" fillId="0" borderId="19" applyAlignment="1" pivotButton="0" quotePrefix="0" xfId="0">
      <alignment horizontal="right" vertical="center"/>
    </xf>
    <xf numFmtId="9" fontId="7" fillId="6" borderId="17" applyAlignment="1" pivotButton="0" quotePrefix="0" xfId="1">
      <alignment horizontal="center" vertical="center" wrapText="1"/>
    </xf>
    <xf numFmtId="9" fontId="7" fillId="6" borderId="19" applyAlignment="1" pivotButton="0" quotePrefix="0" xfId="1">
      <alignment horizontal="center" vertical="center" wrapText="1"/>
    </xf>
    <xf numFmtId="9" fontId="7" fillId="5" borderId="4" applyAlignment="1" pivotButton="0" quotePrefix="0" xfId="1">
      <alignment horizontal="center" vertical="center" wrapText="1"/>
    </xf>
    <xf numFmtId="9" fontId="8" fillId="8" borderId="11" applyAlignment="1" pivotButton="0" quotePrefix="0" xfId="1">
      <alignment horizontal="center" vertical="center" wrapText="1"/>
    </xf>
    <xf numFmtId="0" fontId="6" fillId="2" borderId="7" applyAlignment="1" pivotButton="0" quotePrefix="0" xfId="0">
      <alignment horizontal="right" vertical="center"/>
    </xf>
    <xf numFmtId="0" fontId="6" fillId="2" borderId="8" applyAlignment="1" pivotButton="0" quotePrefix="0" xfId="0">
      <alignment horizontal="right" vertical="center"/>
    </xf>
    <xf numFmtId="0" fontId="6" fillId="0" borderId="4" applyAlignment="1" pivotButton="0" quotePrefix="0" xfId="0">
      <alignment horizontal="center" vertical="center"/>
    </xf>
    <xf numFmtId="165" fontId="14" fillId="12" borderId="4" applyAlignment="1" pivotButton="0" quotePrefix="0" xfId="3">
      <alignment horizontal="center" vertical="center"/>
    </xf>
    <xf numFmtId="0" fontId="14" fillId="13" borderId="4" applyAlignment="1" pivotButton="0" quotePrefix="0" xfId="3">
      <alignment horizontal="center" vertical="center"/>
    </xf>
    <xf numFmtId="0" fontId="13" fillId="13" borderId="4" applyAlignment="1" pivotButton="0" quotePrefix="0" xfId="3">
      <alignment horizontal="center" vertical="center"/>
    </xf>
    <xf numFmtId="0" fontId="14" fillId="11" borderId="4" applyAlignment="1" pivotButton="0" quotePrefix="0" xfId="3">
      <alignment horizontal="center" vertical="center"/>
    </xf>
    <xf numFmtId="0" fontId="0" fillId="0" borderId="26" pivotButton="0" quotePrefix="0" xfId="0"/>
    <xf numFmtId="0" fontId="0" fillId="0" borderId="27" pivotButton="0" quotePrefix="0" xfId="0"/>
    <xf numFmtId="0" fontId="3" fillId="0" borderId="32" applyAlignment="1" pivotButton="0" quotePrefix="0" xfId="0">
      <alignment horizontal="center" vertical="center"/>
    </xf>
    <xf numFmtId="0" fontId="0" fillId="0" borderId="13" pivotButton="0" quotePrefix="0" xfId="0"/>
    <xf numFmtId="0" fontId="0" fillId="0" borderId="20" pivotButton="0" quotePrefix="0" xfId="0"/>
    <xf numFmtId="0" fontId="0" fillId="0" borderId="31" pivotButton="0" quotePrefix="0" xfId="0"/>
    <xf numFmtId="0" fontId="0" fillId="0" borderId="18" pivotButton="0" quotePrefix="0" xfId="0"/>
    <xf numFmtId="0" fontId="0" fillId="0" borderId="15" pivotButton="0" quotePrefix="0" xfId="0"/>
    <xf numFmtId="0" fontId="0" fillId="0" borderId="16" pivotButton="0" quotePrefix="0" xfId="0"/>
    <xf numFmtId="0" fontId="0" fillId="0" borderId="21" pivotButton="0" quotePrefix="0" xfId="0"/>
    <xf numFmtId="0" fontId="0" fillId="0" borderId="5" pivotButton="0" quotePrefix="0" xfId="0"/>
    <xf numFmtId="9" fontId="7" fillId="6" borderId="4" applyAlignment="1" pivotButton="0" quotePrefix="0" xfId="1">
      <alignment horizontal="center" vertical="center" wrapText="1"/>
    </xf>
    <xf numFmtId="0" fontId="0" fillId="0" borderId="11" pivotButton="0" quotePrefix="0" xfId="0"/>
    <xf numFmtId="0" fontId="6" fillId="0" borderId="4" applyAlignment="1" pivotButton="0" quotePrefix="0" xfId="0">
      <alignment horizontal="right" vertical="center"/>
    </xf>
    <xf numFmtId="165" fontId="14" fillId="12" borderId="4" applyAlignment="1" pivotButton="0" quotePrefix="0" xfId="3">
      <alignment horizontal="center" vertical="center"/>
    </xf>
    <xf numFmtId="164" fontId="0" fillId="10" borderId="22" applyAlignment="1" pivotButton="0" quotePrefix="0" xfId="2">
      <alignment vertical="center"/>
    </xf>
    <xf numFmtId="164" fontId="13" fillId="10" borderId="22" applyAlignment="1" pivotButton="0" quotePrefix="0" xfId="2">
      <alignment vertical="center"/>
    </xf>
    <xf numFmtId="164" fontId="13" fillId="13" borderId="22" applyAlignment="1" pivotButton="0" quotePrefix="0" xfId="3">
      <alignment vertical="center"/>
    </xf>
    <xf numFmtId="164" fontId="13" fillId="13" borderId="5" applyAlignment="1" pivotButton="0" quotePrefix="0" xfId="3">
      <alignment horizontal="right" vertical="center"/>
    </xf>
  </cellXfs>
  <cellStyles count="4">
    <cellStyle name="Normal" xfId="0" builtinId="0"/>
    <cellStyle name="標準 2 2" xfId="1"/>
    <cellStyle name="Comma [0]" xfId="2" builtinId="6"/>
    <cellStyle name="標準 11" xf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BCMM</author>
  </authors>
  <commentList>
    <comment ref="O4" authorId="0" shapeId="0">
      <text>
        <t>開発スキル足りない、業務の理解ミスや急に休みなどでリスクが可能性があると思います。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8"/>
  <sheetViews>
    <sheetView showGridLines="0" tabSelected="1" view="pageBreakPreview" zoomScaleNormal="100" zoomScaleSheetLayoutView="100" workbookViewId="0">
      <selection activeCell="F23" sqref="F23"/>
    </sheetView>
  </sheetViews>
  <sheetFormatPr baseColWidth="8" defaultRowHeight="14.45"/>
  <cols>
    <col width="7.85546875" customWidth="1" min="2" max="2"/>
    <col width="14.85546875" customWidth="1" min="3" max="3"/>
    <col width="20.140625" bestFit="1" customWidth="1" min="4" max="4"/>
    <col width="29.140625" bestFit="1" customWidth="1" min="5" max="5"/>
    <col width="64.140625" customWidth="1" min="6" max="6"/>
  </cols>
  <sheetData>
    <row r="1">
      <c r="A1" s="3" t="inlineStr">
        <is>
          <t>業務分類</t>
        </is>
      </c>
      <c r="B1" s="3" t="inlineStr">
        <is>
          <t>番号</t>
        </is>
      </c>
      <c r="C1" s="3" t="inlineStr">
        <is>
          <t>機能ID</t>
        </is>
      </c>
      <c r="D1" s="3" t="inlineStr">
        <is>
          <t>ScreenID</t>
        </is>
      </c>
      <c r="E1" s="3" t="inlineStr">
        <is>
          <t>機能名称</t>
        </is>
      </c>
      <c r="F1" s="3" t="inlineStr">
        <is>
          <t>内容</t>
        </is>
      </c>
    </row>
    <row r="2" ht="24.95" customHeight="1">
      <c r="A2" s="64" t="inlineStr">
        <is>
          <t>画面</t>
        </is>
      </c>
      <c r="B2" s="2" t="n">
        <v>1</v>
      </c>
      <c r="C2" s="4" t="inlineStr">
        <is>
          <t>FPPR0010AC</t>
        </is>
      </c>
      <c r="D2" s="1" t="inlineStr">
        <is>
          <t>SCR-SAMPLE-001</t>
        </is>
      </c>
      <c r="E2" s="1" t="inlineStr">
        <is>
          <t>Sample Function 1</t>
        </is>
      </c>
      <c r="F2" s="11" t="inlineStr">
        <is>
          <t>COOOLaで入力された入荷実績の確認・訂正を行う。
検収実績の確認、差戻の登録を行う。</t>
        </is>
      </c>
    </row>
    <row r="3" ht="24.95" customHeight="1">
      <c r="A3" s="94" t="n"/>
      <c r="B3" s="2" t="n">
        <v>2</v>
      </c>
      <c r="C3" s="4" t="inlineStr">
        <is>
          <t>FPMT10391</t>
        </is>
      </c>
      <c r="D3" s="4" t="inlineStr">
        <is>
          <t>SCR-SAMPLE-002</t>
        </is>
      </c>
      <c r="E3" s="4" t="inlineStr">
        <is>
          <t>Sample Function 2</t>
        </is>
      </c>
      <c r="F3" s="11" t="inlineStr">
        <is>
          <t>・仕入データより、買掛データの作成を行う。
・消費税の計上を行う。</t>
        </is>
      </c>
    </row>
    <row r="4" ht="24.95" customHeight="1">
      <c r="A4" s="94" t="n"/>
      <c r="B4" s="2" t="n">
        <v>3</v>
      </c>
      <c r="C4" s="4" t="inlineStr">
        <is>
          <t>FPPR00501AC</t>
        </is>
      </c>
      <c r="D4" s="4" t="inlineStr">
        <is>
          <t>SCR-SAMPLE-003</t>
        </is>
      </c>
      <c r="E4" s="4" t="inlineStr">
        <is>
          <t>Sample Function 3</t>
        </is>
      </c>
      <c r="F4" s="11" t="inlineStr">
        <is>
          <t>・支払通知書を作成したデータを対象に、仕入先に対する承認依頼の登録を行う。
・請求書管理を行う仕入先の請求書受領状況の登録を行う。</t>
        </is>
      </c>
    </row>
    <row r="5" ht="37.5" customHeight="1">
      <c r="A5" s="94" t="n"/>
      <c r="B5" s="2" t="n">
        <v>4</v>
      </c>
      <c r="C5" s="4" t="inlineStr">
        <is>
          <t>FPVM10131</t>
        </is>
      </c>
      <c r="D5" s="1" t="inlineStr">
        <is>
          <t>SCR-SAMPLE-004</t>
        </is>
      </c>
      <c r="E5" s="1" t="inlineStr">
        <is>
          <t>Sample Function 4</t>
        </is>
      </c>
      <c r="F5" s="11" t="inlineStr">
        <is>
          <t>買掛データより、支払通知書の出力を行う。
　①支払通知書
　②支払明細書</t>
        </is>
      </c>
    </row>
    <row r="6" ht="24.95" customHeight="1">
      <c r="A6" s="94" t="n"/>
      <c r="B6" s="2" t="n">
        <v>5</v>
      </c>
      <c r="C6" s="4" t="inlineStr">
        <is>
          <t>FPPR00901AC</t>
        </is>
      </c>
      <c r="D6" s="1" t="inlineStr">
        <is>
          <t>SCR-SAMPLE-005</t>
        </is>
      </c>
      <c r="E6" s="1" t="inlineStr">
        <is>
          <t>Sample Function 5</t>
        </is>
      </c>
      <c r="F6" s="11" t="inlineStr">
        <is>
          <t>ANACより支払通知書承認依頼されたデータを対象に、支払通知書の承認を行う。
差戻の場合は、差戻理由の登録を行う。</t>
        </is>
      </c>
    </row>
    <row r="7">
      <c r="A7" s="94" t="n"/>
      <c r="B7" s="2" t="n">
        <v>6</v>
      </c>
      <c r="C7" s="4" t="inlineStr">
        <is>
          <t>FPPR00201AC</t>
        </is>
      </c>
      <c r="D7" s="4" t="inlineStr">
        <is>
          <t>SCR-SAMPLE-006</t>
        </is>
      </c>
      <c r="E7" s="4" t="inlineStr">
        <is>
          <t>Sample Function 6</t>
        </is>
      </c>
      <c r="F7" s="11" t="inlineStr">
        <is>
          <t>買掛データより、仕入計上のCSV出力を行う・</t>
        </is>
      </c>
    </row>
    <row r="8" ht="75" customHeight="1">
      <c r="A8" s="95" t="n"/>
      <c r="B8" s="2" t="n">
        <v>7</v>
      </c>
      <c r="C8" s="4" t="inlineStr">
        <is>
          <t>FPPR00601AC</t>
        </is>
      </c>
      <c r="D8" s="12" t="inlineStr">
        <is>
          <t>SCR-SAMPLE-007</t>
        </is>
      </c>
      <c r="E8" s="12" t="inlineStr">
        <is>
          <t>Sample Function 7</t>
        </is>
      </c>
      <c r="F8" s="11" t="inlineStr">
        <is>
          <t>各種CSVの出力を行う。
　①単価不一致確認表情報
　②検収実績情報
　③入庫実績情報
　④アイテム別年間仕入一覧
　⑤サプライヤー別購入金額一覧</t>
        </is>
      </c>
    </row>
  </sheetData>
  <autoFilter ref="D1:D8"/>
  <mergeCells count="1">
    <mergeCell ref="A2:A8"/>
  </mergeCells>
  <pageMargins left="0.7" right="0.7" top="0.75" bottom="0.75" header="0.3" footer="0.3"/>
  <pageSetup orientation="portrait" scale="69"/>
</worksheet>
</file>

<file path=xl/worksheets/sheet2.xml><?xml version="1.0" encoding="utf-8"?>
<worksheet xmlns="http://schemas.openxmlformats.org/spreadsheetml/2006/main">
  <sheetPr>
    <outlinePr summaryBelow="1" summaryRight="1"/>
    <pageSetUpPr/>
  </sheetPr>
  <dimension ref="A2:W8"/>
  <sheetViews>
    <sheetView showGridLines="0" view="pageBreakPreview" zoomScaleNormal="85" zoomScaleSheetLayoutView="100" workbookViewId="0">
      <selection activeCell="H32" sqref="H32"/>
    </sheetView>
  </sheetViews>
  <sheetFormatPr baseColWidth="8" defaultRowHeight="14.45"/>
  <cols>
    <col width="16.140625" customWidth="1" min="3" max="3"/>
    <col width="8.140625" customWidth="1" min="4" max="5"/>
  </cols>
  <sheetData>
    <row r="1" ht="15" customHeight="1" thickBot="1"/>
    <row r="2">
      <c r="A2" s="96" t="inlineStr">
        <is>
          <t>機能改善フェーズ</t>
        </is>
      </c>
      <c r="B2" s="97" t="n"/>
      <c r="C2" s="98" t="n"/>
      <c r="D2" s="67" t="inlineStr">
        <is>
          <t>March</t>
        </is>
      </c>
      <c r="E2" s="99" t="n"/>
      <c r="F2" s="99" t="n"/>
      <c r="G2" s="100" t="n"/>
      <c r="H2" s="76" t="inlineStr">
        <is>
          <t>April</t>
        </is>
      </c>
      <c r="I2" s="99" t="n"/>
      <c r="J2" s="99" t="n"/>
      <c r="K2" s="100" t="n"/>
      <c r="L2" s="79" t="inlineStr">
        <is>
          <t>May</t>
        </is>
      </c>
      <c r="M2" s="99" t="n"/>
      <c r="N2" s="99" t="n"/>
      <c r="O2" s="100" t="n"/>
      <c r="P2" s="76" t="inlineStr">
        <is>
          <t>Jun</t>
        </is>
      </c>
      <c r="Q2" s="99" t="n"/>
      <c r="R2" s="99" t="n"/>
      <c r="S2" s="100" t="n"/>
      <c r="T2" s="67" t="inlineStr">
        <is>
          <t>July</t>
        </is>
      </c>
      <c r="U2" s="99" t="n"/>
      <c r="V2" s="99" t="n"/>
      <c r="W2" s="100" t="n"/>
    </row>
    <row r="3" ht="15" customHeight="1" thickBot="1">
      <c r="A3" s="101" t="n"/>
      <c r="B3" s="102" t="n"/>
      <c r="C3" s="103" t="n"/>
      <c r="D3" s="65" t="inlineStr">
        <is>
          <t>1W</t>
        </is>
      </c>
      <c r="E3" s="64" t="inlineStr">
        <is>
          <t>2W</t>
        </is>
      </c>
      <c r="F3" s="64" t="inlineStr">
        <is>
          <t>3W</t>
        </is>
      </c>
      <c r="G3" s="66" t="inlineStr">
        <is>
          <t>4W</t>
        </is>
      </c>
      <c r="H3" s="65" t="inlineStr">
        <is>
          <t>1W</t>
        </is>
      </c>
      <c r="I3" s="64" t="inlineStr">
        <is>
          <t>2W</t>
        </is>
      </c>
      <c r="J3" s="64" t="inlineStr">
        <is>
          <t>3W</t>
        </is>
      </c>
      <c r="K3" s="66" t="inlineStr">
        <is>
          <t>4W</t>
        </is>
      </c>
      <c r="L3" s="9" t="inlineStr">
        <is>
          <t>1W</t>
        </is>
      </c>
      <c r="M3" s="64" t="inlineStr">
        <is>
          <t>2W</t>
        </is>
      </c>
      <c r="N3" s="64" t="inlineStr">
        <is>
          <t>3W</t>
        </is>
      </c>
      <c r="O3" s="5" t="inlineStr">
        <is>
          <t>4W</t>
        </is>
      </c>
      <c r="P3" s="65" t="inlineStr">
        <is>
          <t>1W</t>
        </is>
      </c>
      <c r="Q3" s="64" t="inlineStr">
        <is>
          <t>2W</t>
        </is>
      </c>
      <c r="R3" s="64" t="inlineStr">
        <is>
          <t>3W</t>
        </is>
      </c>
      <c r="S3" s="64" t="inlineStr">
        <is>
          <t>4W</t>
        </is>
      </c>
      <c r="T3" s="65" t="inlineStr">
        <is>
          <t>1W</t>
        </is>
      </c>
      <c r="U3" s="64" t="inlineStr">
        <is>
          <t>2W</t>
        </is>
      </c>
      <c r="V3" s="64" t="inlineStr">
        <is>
          <t>3W</t>
        </is>
      </c>
      <c r="W3" s="66" t="inlineStr">
        <is>
          <t>4W</t>
        </is>
      </c>
    </row>
    <row r="4" ht="36" customHeight="1">
      <c r="A4" s="65" t="inlineStr">
        <is>
          <t>環境設定</t>
        </is>
      </c>
      <c r="B4" s="104" t="n"/>
      <c r="C4" s="10" t="n"/>
      <c r="D4" s="9" t="n"/>
      <c r="E4" s="64" t="n"/>
      <c r="F4" s="64" t="n"/>
      <c r="G4" s="5" t="n"/>
      <c r="H4" s="65" t="n"/>
      <c r="I4" s="64" t="n"/>
      <c r="J4" s="64" t="n"/>
      <c r="K4" s="66" t="n"/>
      <c r="L4" s="9" t="n"/>
      <c r="M4" s="64" t="n"/>
      <c r="N4" s="64" t="n"/>
      <c r="O4" s="5" t="n"/>
      <c r="P4" s="65" t="n"/>
      <c r="Q4" s="64" t="n"/>
      <c r="R4" s="64" t="n"/>
      <c r="S4" s="64" t="n"/>
      <c r="T4" s="6" t="n"/>
      <c r="U4" s="2" t="n"/>
      <c r="V4" s="2" t="n"/>
      <c r="W4" s="8" t="n"/>
    </row>
    <row r="5" ht="33.95" customHeight="1">
      <c r="A5" s="65" t="inlineStr">
        <is>
          <t>システム理解やQAやり取り</t>
        </is>
      </c>
      <c r="B5" s="104" t="n"/>
      <c r="C5" s="10" t="n"/>
      <c r="D5" s="9" t="n"/>
      <c r="E5" s="64" t="n"/>
      <c r="F5" s="64" t="n"/>
      <c r="G5" s="5" t="n"/>
      <c r="H5" s="65" t="n"/>
      <c r="I5" s="64" t="n"/>
      <c r="J5" s="64" t="n"/>
      <c r="K5" s="66" t="n"/>
      <c r="L5" s="9" t="n"/>
      <c r="M5" s="64" t="n"/>
      <c r="N5" s="64" t="n"/>
      <c r="O5" s="5" t="n"/>
      <c r="P5" s="65" t="n"/>
      <c r="Q5" s="64" t="n"/>
      <c r="R5" s="64" t="n"/>
      <c r="S5" s="64" t="n"/>
      <c r="T5" s="6" t="n"/>
      <c r="U5" s="2" t="n"/>
      <c r="V5" s="2" t="n"/>
      <c r="W5" s="8" t="n"/>
    </row>
    <row r="6" ht="33.95" customHeight="1">
      <c r="A6" s="65" t="inlineStr">
        <is>
          <t>実装</t>
        </is>
      </c>
      <c r="B6" s="104" t="n"/>
      <c r="C6" s="10" t="n"/>
      <c r="D6" s="10" t="n"/>
      <c r="E6" s="2" t="n"/>
      <c r="F6" s="2" t="n"/>
      <c r="G6" s="7" t="n"/>
      <c r="H6" s="6" t="n"/>
      <c r="I6" s="2" t="n"/>
      <c r="J6" s="2" t="n"/>
      <c r="K6" s="8" t="n"/>
      <c r="L6" s="10" t="n"/>
      <c r="M6" s="2" t="n"/>
      <c r="N6" s="2" t="n"/>
      <c r="O6" s="7" t="n"/>
      <c r="P6" s="6" t="n"/>
      <c r="Q6" s="2" t="n"/>
      <c r="R6" s="2" t="n"/>
      <c r="S6" s="2" t="n"/>
      <c r="T6" s="6" t="n"/>
      <c r="U6" s="2" t="n"/>
      <c r="V6" s="2" t="n"/>
      <c r="W6" s="8" t="n"/>
    </row>
    <row r="7" ht="32.85" customHeight="1">
      <c r="A7" s="65" t="inlineStr">
        <is>
          <t>単体テスト仕様作成</t>
        </is>
      </c>
      <c r="B7" s="104" t="n"/>
      <c r="C7" s="10" t="n"/>
      <c r="D7" s="10" t="n"/>
      <c r="E7" s="2" t="n"/>
      <c r="F7" s="2" t="n"/>
      <c r="G7" s="7" t="n"/>
      <c r="H7" s="6" t="n"/>
      <c r="I7" s="2" t="n"/>
      <c r="J7" s="2" t="n"/>
      <c r="K7" s="8" t="n"/>
      <c r="L7" s="10" t="n"/>
      <c r="M7" s="2" t="n"/>
      <c r="N7" s="2" t="n"/>
      <c r="O7" s="7" t="n"/>
      <c r="P7" s="6" t="n"/>
      <c r="Q7" s="2" t="n"/>
      <c r="R7" s="2" t="n"/>
      <c r="S7" s="2" t="n"/>
      <c r="T7" s="6" t="n"/>
      <c r="U7" s="2" t="n"/>
      <c r="V7" s="2" t="n"/>
      <c r="W7" s="8" t="n"/>
    </row>
    <row r="8" ht="32.85" customHeight="1">
      <c r="A8" s="65" t="inlineStr">
        <is>
          <t>単体テスト</t>
        </is>
      </c>
      <c r="B8" s="104" t="n"/>
      <c r="C8" s="10" t="n"/>
      <c r="D8" s="10" t="n"/>
      <c r="E8" s="2" t="n"/>
      <c r="F8" s="2" t="n"/>
      <c r="G8" s="7" t="n"/>
      <c r="H8" s="6" t="n"/>
      <c r="I8" s="2" t="n"/>
      <c r="J8" s="2" t="n"/>
      <c r="K8" s="8" t="n"/>
      <c r="L8" s="10" t="n"/>
      <c r="M8" s="2" t="n"/>
      <c r="N8" s="2" t="n"/>
      <c r="O8" s="7" t="n"/>
      <c r="P8" s="6" t="n"/>
      <c r="Q8" s="2" t="n"/>
      <c r="R8" s="2" t="n"/>
      <c r="S8" s="2" t="n"/>
      <c r="T8" s="6" t="n"/>
      <c r="U8" s="2" t="n"/>
      <c r="V8" s="2" t="n"/>
      <c r="W8" s="8" t="n"/>
    </row>
  </sheetData>
  <mergeCells count="11">
    <mergeCell ref="A2:C3"/>
    <mergeCell ref="A5:C5"/>
    <mergeCell ref="A8:C8"/>
    <mergeCell ref="A6:C6"/>
    <mergeCell ref="H2:K2"/>
    <mergeCell ref="T2:W2"/>
    <mergeCell ref="L2:O2"/>
    <mergeCell ref="A7:C7"/>
    <mergeCell ref="D2:G2"/>
    <mergeCell ref="A4:C4"/>
    <mergeCell ref="P2:S2"/>
  </mergeCells>
  <pageMargins left="0.7" right="0.7" top="0.75" bottom="0.75" header="0.3" footer="0.3"/>
  <pageSetup orientation="portrait" scale="37"/>
</worksheet>
</file>

<file path=xl/worksheets/sheet3.xml><?xml version="1.0" encoding="utf-8"?>
<worksheet xmlns="http://schemas.openxmlformats.org/spreadsheetml/2006/main">
  <sheetPr>
    <outlinePr summaryBelow="1" summaryRight="1"/>
    <pageSetUpPr/>
  </sheetPr>
  <dimension ref="A1:S22"/>
  <sheetViews>
    <sheetView showGridLines="0" view="pageBreakPreview" zoomScaleNormal="100" zoomScaleSheetLayoutView="100" workbookViewId="0">
      <pane ySplit="4" topLeftCell="A5" activePane="bottomLeft" state="frozen"/>
      <selection pane="bottomLeft" activeCell="A1" sqref="A1"/>
    </sheetView>
  </sheetViews>
  <sheetFormatPr baseColWidth="8" defaultColWidth="8.7109375" defaultRowHeight="15.95"/>
  <cols>
    <col width="8.7109375" customWidth="1" style="17" min="1" max="1"/>
    <col width="6" customWidth="1" style="17" min="2" max="2"/>
    <col width="14.5703125" customWidth="1" style="17" min="3" max="3"/>
    <col width="31.7109375" customWidth="1" style="17" min="4" max="4"/>
    <col width="6.7109375" customWidth="1" style="19" min="5" max="5"/>
    <col width="9.85546875" customWidth="1" style="19" min="6" max="6"/>
    <col width="15.140625" customWidth="1" style="19" min="7" max="7"/>
    <col width="10.5703125" customWidth="1" style="19" min="8" max="8"/>
    <col width="7.5703125" customWidth="1" style="19" min="9" max="9"/>
    <col width="12.5703125" customWidth="1" style="19" min="10" max="10"/>
    <col width="9.42578125" customWidth="1" style="19" min="11" max="11"/>
    <col width="8.85546875" customWidth="1" style="19" min="12" max="12"/>
    <col width="15.5703125" customWidth="1" style="19" min="13" max="13"/>
    <col width="10.140625" customWidth="1" style="19" min="14" max="14"/>
    <col width="7.85546875" customWidth="1" style="19" min="15" max="15"/>
    <col width="10.85546875" bestFit="1" customWidth="1" style="19" min="16" max="16"/>
    <col width="8.42578125" customWidth="1" style="19" min="17" max="17"/>
    <col width="6.28515625" customWidth="1" style="17" min="18" max="18"/>
    <col width="8.7109375" customWidth="1" style="17" min="19" max="16384"/>
  </cols>
  <sheetData>
    <row r="1">
      <c r="G1" s="35" t="inlineStr">
        <is>
          <t>開発の</t>
        </is>
      </c>
      <c r="H1" s="35" t="inlineStr">
        <is>
          <t>開発の</t>
        </is>
      </c>
      <c r="I1" s="35" t="inlineStr">
        <is>
          <t>開発の</t>
        </is>
      </c>
      <c r="J1" s="35" t="inlineStr">
        <is>
          <t>開発の</t>
        </is>
      </c>
      <c r="K1" s="35" t="inlineStr">
        <is>
          <t>単体テスト仕様書の</t>
        </is>
      </c>
      <c r="L1" s="35" t="inlineStr">
        <is>
          <t>開発の</t>
        </is>
      </c>
      <c r="M1" s="35" t="inlineStr">
        <is>
          <t>開発の</t>
        </is>
      </c>
      <c r="N1" s="35" t="inlineStr">
        <is>
          <t>開発の</t>
        </is>
      </c>
      <c r="O1" s="35" t="inlineStr">
        <is>
          <t>開発～単体の</t>
        </is>
      </c>
      <c r="P1" s="35" t="inlineStr">
        <is>
          <t>開発～単体の</t>
        </is>
      </c>
    </row>
    <row r="2">
      <c r="G2" s="20" t="n">
        <v>0.1</v>
      </c>
      <c r="H2" s="20" t="n">
        <v>0.1</v>
      </c>
      <c r="I2" s="20" t="n">
        <v>0.05</v>
      </c>
      <c r="J2" s="20" t="n">
        <v>0.3</v>
      </c>
      <c r="K2" s="20" t="n">
        <v>0.15</v>
      </c>
      <c r="L2" s="20" t="n">
        <v>0.3</v>
      </c>
      <c r="M2" s="20" t="n">
        <v>0.1</v>
      </c>
      <c r="N2" s="20" t="n">
        <v>0.02</v>
      </c>
      <c r="O2" s="20" t="n">
        <v>0.03</v>
      </c>
      <c r="P2" s="20" t="n">
        <v>0.05</v>
      </c>
    </row>
    <row r="3" ht="18" customHeight="1">
      <c r="G3" s="21" t="n"/>
      <c r="H3" s="105" t="inlineStr">
        <is>
          <t>仕様理解</t>
        </is>
      </c>
      <c r="I3" s="10" t="n"/>
      <c r="J3" s="85" t="inlineStr">
        <is>
          <t>単体テスト</t>
        </is>
      </c>
      <c r="K3" s="104" t="n"/>
      <c r="L3" s="10" t="n"/>
      <c r="M3" s="22" t="n"/>
      <c r="N3" s="86" t="n"/>
      <c r="O3" s="106" t="n"/>
      <c r="P3" s="106" t="n"/>
    </row>
    <row r="4" ht="39.95" customHeight="1">
      <c r="A4" s="23" t="inlineStr">
        <is>
          <t>業務分類</t>
        </is>
      </c>
      <c r="B4" s="23" t="inlineStr">
        <is>
          <t>番号</t>
        </is>
      </c>
      <c r="C4" s="23" t="inlineStr">
        <is>
          <t>機能ID</t>
        </is>
      </c>
      <c r="D4" s="23" t="inlineStr">
        <is>
          <t>機能名称</t>
        </is>
      </c>
      <c r="E4" s="24" t="inlineStr">
        <is>
          <t>Status</t>
        </is>
      </c>
      <c r="F4" s="25" t="inlineStr">
        <is>
          <t>実装工数
(h)</t>
        </is>
      </c>
      <c r="G4" s="13" t="inlineStr">
        <is>
          <t>コードレビュー
(h)</t>
        </is>
      </c>
      <c r="H4" s="13" t="inlineStr">
        <is>
          <t>仕様理解
(h)</t>
        </is>
      </c>
      <c r="I4" s="13" t="inlineStr">
        <is>
          <t>QA
(h)</t>
        </is>
      </c>
      <c r="J4" s="14" t="inlineStr">
        <is>
          <t>テスト仕様書
(h)</t>
        </is>
      </c>
      <c r="K4" s="14" t="inlineStr">
        <is>
          <t>レビュー
(h)</t>
        </is>
      </c>
      <c r="L4" s="14" t="inlineStr">
        <is>
          <t>実施
(h)</t>
        </is>
      </c>
      <c r="M4" s="14" t="inlineStr">
        <is>
          <t>テストデータ作成
(h)</t>
        </is>
      </c>
      <c r="N4" s="15" t="inlineStr">
        <is>
          <t>付帯作業
(h)</t>
        </is>
      </c>
      <c r="O4" s="16" t="inlineStr">
        <is>
          <t>リスク
(h)</t>
        </is>
      </c>
      <c r="P4" s="16" t="inlineStr">
        <is>
          <t>管理工数
(h)</t>
        </is>
      </c>
      <c r="Q4" s="15" t="inlineStr">
        <is>
          <t>合計
(h)</t>
        </is>
      </c>
    </row>
    <row r="5">
      <c r="A5" s="89" t="inlineStr">
        <is>
          <t>Sample Category</t>
        </is>
      </c>
      <c r="B5" s="26" t="n">
        <v>1</v>
      </c>
      <c r="C5" s="26" t="inlineStr">
        <is>
          <t>SCR-SAMPLE-001</t>
        </is>
      </c>
      <c r="D5" s="26">
        <f>VLOOKUP(C5,機能一覧!$D$2:$F$8,2,FALSE)</f>
        <v/>
      </c>
      <c r="E5" s="27" t="inlineStr">
        <is>
          <t>中</t>
        </is>
      </c>
      <c r="F5" s="36" t="n">
        <v>40</v>
      </c>
      <c r="G5" s="36">
        <f>F5*G$2</f>
        <v/>
      </c>
      <c r="H5" s="37">
        <f>F5*H$2</f>
        <v/>
      </c>
      <c r="I5" s="37">
        <f>$F5*I$2</f>
        <v/>
      </c>
      <c r="J5" s="37">
        <f>F5*J$2</f>
        <v/>
      </c>
      <c r="K5" s="37">
        <f>J5*K$2</f>
        <v/>
      </c>
      <c r="L5" s="37">
        <f>F5*L$2</f>
        <v/>
      </c>
      <c r="M5" s="37">
        <f>F5*M$2</f>
        <v/>
      </c>
      <c r="N5" s="37">
        <f>F5*N$2</f>
        <v/>
      </c>
      <c r="O5" s="37">
        <f>(F5+H5+J5+L5)*O$2</f>
        <v/>
      </c>
      <c r="P5" s="37">
        <f>SUM(F5:M5)*P$2</f>
        <v/>
      </c>
      <c r="Q5" s="37">
        <f>SUM(F5:P5)</f>
        <v/>
      </c>
    </row>
    <row r="6">
      <c r="A6" s="94" t="n"/>
      <c r="B6" s="26" t="n">
        <v>2</v>
      </c>
      <c r="C6" s="26" t="inlineStr">
        <is>
          <t>SCR-SAMPLE-002</t>
        </is>
      </c>
      <c r="D6" s="26">
        <f>VLOOKUP(C6,機能一覧!$D$2:$F$8,2,FALSE)</f>
        <v/>
      </c>
      <c r="E6" s="27" t="inlineStr">
        <is>
          <t>大</t>
        </is>
      </c>
      <c r="F6" s="36" t="n">
        <v>30</v>
      </c>
      <c r="G6" s="36">
        <f>F6*G$2</f>
        <v/>
      </c>
      <c r="H6" s="37">
        <f>F6*H$2</f>
        <v/>
      </c>
      <c r="I6" s="37">
        <f>$F6*I$2</f>
        <v/>
      </c>
      <c r="J6" s="37">
        <f>F6*J$2</f>
        <v/>
      </c>
      <c r="K6" s="37">
        <f>J6*K$2</f>
        <v/>
      </c>
      <c r="L6" s="37">
        <f>F6*L$2</f>
        <v/>
      </c>
      <c r="M6" s="37">
        <f>F6*M$2</f>
        <v/>
      </c>
      <c r="N6" s="37">
        <f>F6*N$2</f>
        <v/>
      </c>
      <c r="O6" s="37">
        <f>(F6+H6+J6+L6)*O$2</f>
        <v/>
      </c>
      <c r="P6" s="37">
        <f>SUM(F6:M6)*P$2</f>
        <v/>
      </c>
      <c r="Q6" s="37">
        <f>SUM(F6:P6)</f>
        <v/>
      </c>
    </row>
    <row r="7">
      <c r="A7" s="94" t="n"/>
      <c r="B7" s="26" t="n">
        <v>3</v>
      </c>
      <c r="C7" s="26" t="inlineStr">
        <is>
          <t>SCR-SAMPLE-003</t>
        </is>
      </c>
      <c r="D7" s="26">
        <f>VLOOKUP(C7,機能一覧!$D$2:$F$8,2,FALSE)</f>
        <v/>
      </c>
      <c r="E7" s="27" t="inlineStr">
        <is>
          <t>小</t>
        </is>
      </c>
      <c r="F7" s="36" t="n">
        <v>50</v>
      </c>
      <c r="G7" s="36">
        <f>F7*G$2</f>
        <v/>
      </c>
      <c r="H7" s="37">
        <f>F7*H$2</f>
        <v/>
      </c>
      <c r="I7" s="37">
        <f>$F7*I$2</f>
        <v/>
      </c>
      <c r="J7" s="37">
        <f>F7*J$2</f>
        <v/>
      </c>
      <c r="K7" s="37">
        <f>J7*K$2</f>
        <v/>
      </c>
      <c r="L7" s="37">
        <f>F7*L$2</f>
        <v/>
      </c>
      <c r="M7" s="37">
        <f>F7*M$2</f>
        <v/>
      </c>
      <c r="N7" s="37">
        <f>F7*N$2</f>
        <v/>
      </c>
      <c r="O7" s="37">
        <f>(F7+H7+J7+L7)*O$2</f>
        <v/>
      </c>
      <c r="P7" s="37">
        <f>SUM(F7:M7)*P$2</f>
        <v/>
      </c>
      <c r="Q7" s="37">
        <f>SUM(F7:P7)</f>
        <v/>
      </c>
    </row>
    <row r="8">
      <c r="A8" s="94" t="n"/>
      <c r="B8" s="26" t="n">
        <v>4</v>
      </c>
      <c r="C8" s="26" t="inlineStr">
        <is>
          <t>SCR-SAMPLE-004</t>
        </is>
      </c>
      <c r="D8" s="26">
        <f>VLOOKUP(C8,機能一覧!$D$2:$F$8,2,FALSE)</f>
        <v/>
      </c>
      <c r="E8" s="27" t="inlineStr">
        <is>
          <t>中</t>
        </is>
      </c>
      <c r="F8" s="36" t="n">
        <v>40</v>
      </c>
      <c r="G8" s="36">
        <f>F8*G$2</f>
        <v/>
      </c>
      <c r="H8" s="37">
        <f>F8*H$2</f>
        <v/>
      </c>
      <c r="I8" s="37">
        <f>$F8*I$2</f>
        <v/>
      </c>
      <c r="J8" s="37">
        <f>F8*J$2</f>
        <v/>
      </c>
      <c r="K8" s="37">
        <f>J8*K$2</f>
        <v/>
      </c>
      <c r="L8" s="37">
        <f>F8*L$2</f>
        <v/>
      </c>
      <c r="M8" s="37">
        <f>F8*M$2</f>
        <v/>
      </c>
      <c r="N8" s="37">
        <f>F8*N$2</f>
        <v/>
      </c>
      <c r="O8" s="37">
        <f>(F8+H8+J8+L8)*O$2</f>
        <v/>
      </c>
      <c r="P8" s="37">
        <f>SUM(F8:M8)*P$2</f>
        <v/>
      </c>
      <c r="Q8" s="37">
        <f>SUM(F8:P8)</f>
        <v/>
      </c>
    </row>
    <row r="9">
      <c r="A9" s="94" t="n"/>
      <c r="B9" s="26" t="n">
        <v>5</v>
      </c>
      <c r="C9" s="26" t="inlineStr">
        <is>
          <t>SCR-SAMPLE-005</t>
        </is>
      </c>
      <c r="D9" s="26">
        <f>VLOOKUP(C9,機能一覧!$D$2:$F$8,2,FALSE)</f>
        <v/>
      </c>
      <c r="E9" s="27" t="inlineStr">
        <is>
          <t>小</t>
        </is>
      </c>
      <c r="F9" s="36" t="n">
        <v>30</v>
      </c>
      <c r="G9" s="36">
        <f>F9*G$2</f>
        <v/>
      </c>
      <c r="H9" s="37">
        <f>F9*H$2</f>
        <v/>
      </c>
      <c r="I9" s="37">
        <f>$F9*I$2</f>
        <v/>
      </c>
      <c r="J9" s="37">
        <f>F9*J$2</f>
        <v/>
      </c>
      <c r="K9" s="37">
        <f>J9*K$2</f>
        <v/>
      </c>
      <c r="L9" s="37">
        <f>F9*L$2</f>
        <v/>
      </c>
      <c r="M9" s="37">
        <f>F9*M$2</f>
        <v/>
      </c>
      <c r="N9" s="37">
        <f>F9*N$2</f>
        <v/>
      </c>
      <c r="O9" s="37">
        <f>(F9+H9+J9+L9)*O$2</f>
        <v/>
      </c>
      <c r="P9" s="37">
        <f>SUM(F9:M9)*P$2</f>
        <v/>
      </c>
      <c r="Q9" s="37">
        <f>SUM(F9:P9)</f>
        <v/>
      </c>
    </row>
    <row r="10">
      <c r="A10" s="94" t="n"/>
      <c r="B10" s="26" t="n">
        <v>6</v>
      </c>
      <c r="C10" s="26" t="inlineStr">
        <is>
          <t>SCR-SAMPLE-006</t>
        </is>
      </c>
      <c r="D10" s="26">
        <f>VLOOKUP(C10,機能一覧!$D$2:$F$8,2,FALSE)</f>
        <v/>
      </c>
      <c r="E10" s="27" t="inlineStr">
        <is>
          <t>中</t>
        </is>
      </c>
      <c r="F10" s="36" t="n">
        <v>40</v>
      </c>
      <c r="G10" s="36">
        <f>F10*G$2</f>
        <v/>
      </c>
      <c r="H10" s="37">
        <f>F10*H$2</f>
        <v/>
      </c>
      <c r="I10" s="37">
        <f>$F10*I$2</f>
        <v/>
      </c>
      <c r="J10" s="37">
        <f>F10*J$2</f>
        <v/>
      </c>
      <c r="K10" s="37">
        <f>J10*K$2</f>
        <v/>
      </c>
      <c r="L10" s="37">
        <f>F10*L$2</f>
        <v/>
      </c>
      <c r="M10" s="37">
        <f>F10*M$2</f>
        <v/>
      </c>
      <c r="N10" s="37">
        <f>F10*N$2</f>
        <v/>
      </c>
      <c r="O10" s="37">
        <f>(F10+H10+J10+L10)*O$2</f>
        <v/>
      </c>
      <c r="P10" s="37">
        <f>SUM(F10:M10)*P$2</f>
        <v/>
      </c>
      <c r="Q10" s="37">
        <f>SUM(F10:P10)</f>
        <v/>
      </c>
    </row>
    <row r="11" ht="16.5" customHeight="1" thickBot="1">
      <c r="A11" s="95" t="n"/>
      <c r="B11" s="26" t="n">
        <v>7</v>
      </c>
      <c r="C11" s="28" t="inlineStr">
        <is>
          <t>SCR-SAMPLE-007</t>
        </is>
      </c>
      <c r="D11" s="26">
        <f>VLOOKUP(C11,機能一覧!$D$2:$F$8,2,FALSE)</f>
        <v/>
      </c>
      <c r="E11" s="27" t="inlineStr">
        <is>
          <t>小</t>
        </is>
      </c>
      <c r="F11" s="36" t="n">
        <v>30</v>
      </c>
      <c r="G11" s="36">
        <f>F11*G$2</f>
        <v/>
      </c>
      <c r="H11" s="37">
        <f>F11*H$2</f>
        <v/>
      </c>
      <c r="I11" s="37">
        <f>$F11*I$2</f>
        <v/>
      </c>
      <c r="J11" s="37">
        <f>F11*J$2</f>
        <v/>
      </c>
      <c r="K11" s="37">
        <f>J11*K$2</f>
        <v/>
      </c>
      <c r="L11" s="37">
        <f>F11*L$2</f>
        <v/>
      </c>
      <c r="M11" s="37">
        <f>F11*M$2</f>
        <v/>
      </c>
      <c r="N11" s="37">
        <f>F11*N$2</f>
        <v/>
      </c>
      <c r="O11" s="37">
        <f>(F11+H11+J11+L11)*O$2</f>
        <v/>
      </c>
      <c r="P11" s="37">
        <f>SUM(F11:M11)*P$2</f>
        <v/>
      </c>
      <c r="Q11" s="37">
        <f>SUM(F11:P11)</f>
        <v/>
      </c>
    </row>
    <row r="12" ht="16.5" customFormat="1" customHeight="1" s="19" thickBot="1">
      <c r="A12" s="17" t="n"/>
      <c r="B12" s="17" t="n"/>
      <c r="C12" s="87" t="inlineStr">
        <is>
          <t>1人(h)</t>
        </is>
      </c>
      <c r="D12" s="99" t="n"/>
      <c r="E12" s="100" t="n"/>
      <c r="F12" s="38">
        <f>SUM(F5:F11)</f>
        <v/>
      </c>
      <c r="G12" s="38">
        <f>SUM(G5:G11)</f>
        <v/>
      </c>
      <c r="H12" s="38">
        <f>SUM(H5:H11)</f>
        <v/>
      </c>
      <c r="I12" s="38">
        <f>SUM(I5:I11)</f>
        <v/>
      </c>
      <c r="J12" s="38">
        <f>SUM(J5:J11)</f>
        <v/>
      </c>
      <c r="K12" s="38">
        <f>SUM(K5:K11)</f>
        <v/>
      </c>
      <c r="L12" s="38">
        <f>SUM(L5:L11)</f>
        <v/>
      </c>
      <c r="M12" s="38">
        <f>SUM(M5:M11)</f>
        <v/>
      </c>
      <c r="N12" s="38">
        <f>SUM(N5:N11)</f>
        <v/>
      </c>
      <c r="O12" s="38">
        <f>SUM(O5:O11)</f>
        <v/>
      </c>
      <c r="P12" s="38">
        <f>SUM(P5:P11)</f>
        <v/>
      </c>
      <c r="Q12" s="38">
        <f>SUM(Q5:Q11)</f>
        <v/>
      </c>
      <c r="R12" s="29" t="n"/>
    </row>
    <row r="13" ht="16.5" customFormat="1" customHeight="1" s="19" thickBot="1">
      <c r="A13" s="17" t="n"/>
      <c r="B13" s="17" t="n"/>
      <c r="C13" s="87" t="inlineStr">
        <is>
          <t>1人(日)</t>
        </is>
      </c>
      <c r="D13" s="99" t="n"/>
      <c r="E13" s="100" t="n"/>
      <c r="F13" s="38">
        <f>F12/8</f>
        <v/>
      </c>
      <c r="G13" s="38">
        <f>G12/8</f>
        <v/>
      </c>
      <c r="H13" s="38">
        <f>H12/8</f>
        <v/>
      </c>
      <c r="I13" s="38">
        <f>I12/8</f>
        <v/>
      </c>
      <c r="J13" s="38">
        <f>J12/8</f>
        <v/>
      </c>
      <c r="K13" s="38">
        <f>K12/8</f>
        <v/>
      </c>
      <c r="L13" s="38">
        <f>L12/8</f>
        <v/>
      </c>
      <c r="M13" s="38">
        <f>M12/8</f>
        <v/>
      </c>
      <c r="N13" s="38">
        <f>N12/8</f>
        <v/>
      </c>
      <c r="O13" s="38">
        <f>O12/8</f>
        <v/>
      </c>
      <c r="P13" s="38">
        <f>P12/8</f>
        <v/>
      </c>
      <c r="Q13" s="38">
        <f>Q12/8</f>
        <v/>
      </c>
      <c r="R13" s="29" t="n"/>
    </row>
    <row r="14" ht="16.5" customFormat="1" customHeight="1" s="19" thickBot="1">
      <c r="A14" s="17" t="n"/>
      <c r="B14" s="17" t="n"/>
      <c r="C14" s="87" t="inlineStr">
        <is>
          <t>1人(月)</t>
        </is>
      </c>
      <c r="D14" s="99" t="n"/>
      <c r="E14" s="100" t="n"/>
      <c r="F14" s="38">
        <f>F13/20</f>
        <v/>
      </c>
      <c r="G14" s="38">
        <f>G13/20</f>
        <v/>
      </c>
      <c r="H14" s="38">
        <f>H13/20</f>
        <v/>
      </c>
      <c r="I14" s="38">
        <f>I13/20</f>
        <v/>
      </c>
      <c r="J14" s="38">
        <f>J13/20</f>
        <v/>
      </c>
      <c r="K14" s="38">
        <f>K13/20</f>
        <v/>
      </c>
      <c r="L14" s="38">
        <f>L13/20</f>
        <v/>
      </c>
      <c r="M14" s="38">
        <f>M13/20</f>
        <v/>
      </c>
      <c r="N14" s="38">
        <f>N13/20</f>
        <v/>
      </c>
      <c r="O14" s="38">
        <f>O13/20</f>
        <v/>
      </c>
      <c r="P14" s="38">
        <f>P13/20</f>
        <v/>
      </c>
      <c r="Q14" s="38">
        <f>Q13/20</f>
        <v/>
      </c>
      <c r="R14" s="29" t="n"/>
    </row>
    <row r="15" ht="16.5" customHeight="1" thickBot="1">
      <c r="C15" s="87">
        <f>"Leader " &amp;D$20&amp; "人+ Developer "&amp;D$21&amp;"人 (h)"</f>
        <v/>
      </c>
      <c r="D15" s="99" t="n"/>
      <c r="E15" s="100" t="n"/>
      <c r="F15" s="38">
        <f>F12/$D21</f>
        <v/>
      </c>
      <c r="G15" s="38">
        <f>G12/$D20</f>
        <v/>
      </c>
      <c r="H15" s="38">
        <f>H12/$D20</f>
        <v/>
      </c>
      <c r="I15" s="38">
        <f>I12/$D20</f>
        <v/>
      </c>
      <c r="J15" s="38">
        <f>J12/$D21</f>
        <v/>
      </c>
      <c r="K15" s="38">
        <f>K12/$D20</f>
        <v/>
      </c>
      <c r="L15" s="38">
        <f>L12/$D21</f>
        <v/>
      </c>
      <c r="M15" s="38">
        <f>M12/$D21</f>
        <v/>
      </c>
      <c r="N15" s="38">
        <f>N12/$D21</f>
        <v/>
      </c>
      <c r="O15" s="38">
        <f>O12/$D21</f>
        <v/>
      </c>
      <c r="P15" s="38">
        <f>P12/$D20</f>
        <v/>
      </c>
      <c r="Q15" s="39">
        <f>SUM(F15:P15)</f>
        <v/>
      </c>
      <c r="R15" s="29" t="inlineStr">
        <is>
          <t>人時</t>
        </is>
      </c>
      <c r="S15" s="19" t="n"/>
    </row>
    <row r="16" ht="16.5" customHeight="1" thickBot="1">
      <c r="C16" s="87">
        <f>"Leader " &amp;D$20&amp; "人+ Developer "&amp;D$21&amp;"人 (h)"</f>
        <v/>
      </c>
      <c r="D16" s="99" t="n"/>
      <c r="E16" s="100" t="n"/>
      <c r="F16" s="40">
        <f>F15/8</f>
        <v/>
      </c>
      <c r="G16" s="40">
        <f>G15/8</f>
        <v/>
      </c>
      <c r="H16" s="40">
        <f>H15/8</f>
        <v/>
      </c>
      <c r="I16" s="40">
        <f>I15/8</f>
        <v/>
      </c>
      <c r="J16" s="40">
        <f>J15/8</f>
        <v/>
      </c>
      <c r="K16" s="40">
        <f>K15/8</f>
        <v/>
      </c>
      <c r="L16" s="40">
        <f>L15/8</f>
        <v/>
      </c>
      <c r="M16" s="40">
        <f>M15/8</f>
        <v/>
      </c>
      <c r="N16" s="40">
        <f>N15/8</f>
        <v/>
      </c>
      <c r="O16" s="40">
        <f>O15/8</f>
        <v/>
      </c>
      <c r="P16" s="40">
        <f>P15/8</f>
        <v/>
      </c>
      <c r="Q16" s="40">
        <f>Q15/8</f>
        <v/>
      </c>
      <c r="R16" s="29" t="inlineStr">
        <is>
          <t>人日</t>
        </is>
      </c>
      <c r="S16" s="19" t="n"/>
    </row>
    <row r="17" ht="16.5" customHeight="1" thickBot="1">
      <c r="C17" s="87">
        <f>"Leader " &amp;D$20&amp; "人+ Developer "&amp;D$21&amp;"人 (h)"</f>
        <v/>
      </c>
      <c r="D17" s="99" t="n"/>
      <c r="E17" s="100" t="n"/>
      <c r="F17" s="41">
        <f>F16/20</f>
        <v/>
      </c>
      <c r="G17" s="41">
        <f>G16/20</f>
        <v/>
      </c>
      <c r="H17" s="41">
        <f>H16/20</f>
        <v/>
      </c>
      <c r="I17" s="41">
        <f>I16/20</f>
        <v/>
      </c>
      <c r="J17" s="41">
        <f>J16/20</f>
        <v/>
      </c>
      <c r="K17" s="41">
        <f>K16/20</f>
        <v/>
      </c>
      <c r="L17" s="41">
        <f>L16/20</f>
        <v/>
      </c>
      <c r="M17" s="41">
        <f>M16/20</f>
        <v/>
      </c>
      <c r="N17" s="41">
        <f>N16/20</f>
        <v/>
      </c>
      <c r="O17" s="41">
        <f>O16/20</f>
        <v/>
      </c>
      <c r="P17" s="41">
        <f>P16/20</f>
        <v/>
      </c>
      <c r="Q17" s="42">
        <f>Q16/20</f>
        <v/>
      </c>
      <c r="R17" s="29" t="inlineStr">
        <is>
          <t>人月</t>
        </is>
      </c>
      <c r="S17" s="19" t="n"/>
    </row>
    <row r="18">
      <c r="S18" s="19" t="n"/>
    </row>
    <row r="19">
      <c r="C19" s="19" t="inlineStr">
        <is>
          <t>体制</t>
        </is>
      </c>
      <c r="D19" s="19" t="n"/>
      <c r="E19" s="30" t="n"/>
      <c r="F19" s="34" t="n"/>
      <c r="G19" s="31" t="n"/>
      <c r="H19" s="31" t="n"/>
      <c r="M19" s="32" t="n"/>
      <c r="S19" s="19" t="n"/>
    </row>
    <row r="20">
      <c r="C20" s="33" t="inlineStr">
        <is>
          <t>Leader</t>
        </is>
      </c>
      <c r="D20" s="107" t="n">
        <v>1</v>
      </c>
      <c r="E20" s="10" t="n"/>
    </row>
    <row r="21">
      <c r="C21" s="33" t="inlineStr">
        <is>
          <t>Developer</t>
        </is>
      </c>
      <c r="D21" s="107" t="n">
        <v>4</v>
      </c>
      <c r="E21" s="10" t="n"/>
    </row>
    <row r="22">
      <c r="C22" s="19" t="n"/>
      <c r="D22" s="19" t="n"/>
      <c r="E22" s="19" t="n"/>
    </row>
  </sheetData>
  <mergeCells count="12">
    <mergeCell ref="C16:E16"/>
    <mergeCell ref="D20:E20"/>
    <mergeCell ref="A5:A11"/>
    <mergeCell ref="C14:E14"/>
    <mergeCell ref="C13:E13"/>
    <mergeCell ref="D21:E21"/>
    <mergeCell ref="C15:E15"/>
    <mergeCell ref="C17:E17"/>
    <mergeCell ref="J3:L3"/>
    <mergeCell ref="C12:E12"/>
    <mergeCell ref="N3:P3"/>
    <mergeCell ref="H3:I3"/>
  </mergeCells>
  <dataValidations count="1">
    <dataValidation sqref="E5:E11" showDropDown="0" showInputMessage="1" showErrorMessage="1" allowBlank="1" type="list">
      <formula1>"大,中,小"</formula1>
    </dataValidation>
  </dataValidations>
  <pageMargins left="0.7" right="0.7" top="0.75" bottom="0.75" header="0.3" footer="0.3"/>
  <pageSetup orientation="portrait" scale="4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19"/>
  <sheetViews>
    <sheetView workbookViewId="0">
      <selection activeCell="F33" sqref="F33"/>
    </sheetView>
  </sheetViews>
  <sheetFormatPr baseColWidth="8" defaultColWidth="8.5703125" defaultRowHeight="14.45"/>
  <cols>
    <col width="3.42578125" customWidth="1" style="44" min="1" max="1"/>
    <col width="53.5703125" customWidth="1" style="44" min="2" max="2"/>
    <col width="14.5703125" bestFit="1" customWidth="1" style="44" min="3" max="3"/>
    <col width="8.5703125" customWidth="1" style="44" min="4" max="4"/>
    <col width="11.42578125" customWidth="1" style="44" min="5" max="13"/>
    <col width="12.42578125" customWidth="1" style="44" min="14" max="14"/>
    <col width="13.42578125" customWidth="1" style="44" min="15" max="15"/>
    <col width="8.5703125" customWidth="1" style="44" min="16" max="16384"/>
  </cols>
  <sheetData>
    <row r="1">
      <c r="A1" s="43" t="inlineStr">
        <is>
          <t>工数・費用</t>
        </is>
      </c>
    </row>
    <row r="3">
      <c r="A3" s="43" t="n"/>
      <c r="B3" s="45" t="inlineStr">
        <is>
          <t>ブライセン（ミャンマー）</t>
        </is>
      </c>
    </row>
    <row r="4">
      <c r="B4" s="93" t="inlineStr">
        <is>
          <t>メンバー</t>
        </is>
      </c>
      <c r="C4" s="93" t="inlineStr">
        <is>
          <t>役割</t>
        </is>
      </c>
      <c r="D4" s="93" t="inlineStr">
        <is>
          <t>等級</t>
        </is>
      </c>
      <c r="E4" s="108" t="inlineStr">
        <is>
          <t>2026/03</t>
        </is>
      </c>
      <c r="F4" s="104" t="n"/>
      <c r="G4" s="10" t="n"/>
      <c r="H4" s="108" t="inlineStr">
        <is>
          <t>2026/04</t>
        </is>
      </c>
      <c r="I4" s="104" t="n"/>
      <c r="J4" s="10" t="n"/>
      <c r="K4" s="108" t="inlineStr">
        <is>
          <t>2026/05</t>
        </is>
      </c>
      <c r="L4" s="104" t="n"/>
      <c r="M4" s="10" t="n"/>
      <c r="N4" s="91" t="inlineStr">
        <is>
          <t>合計</t>
        </is>
      </c>
      <c r="O4" s="10" t="n"/>
    </row>
    <row r="5">
      <c r="B5" s="95" t="n"/>
      <c r="C5" s="95" t="n"/>
      <c r="D5" s="95" t="n"/>
      <c r="E5" s="46" t="inlineStr">
        <is>
          <t>工数(人月)</t>
        </is>
      </c>
      <c r="F5" s="47" t="inlineStr">
        <is>
          <t>単価(円)</t>
        </is>
      </c>
      <c r="G5" s="48" t="inlineStr">
        <is>
          <t>合計金額(円)</t>
        </is>
      </c>
      <c r="H5" s="46" t="inlineStr">
        <is>
          <t>工数(人月)</t>
        </is>
      </c>
      <c r="I5" s="47" t="inlineStr">
        <is>
          <t>単価(円)</t>
        </is>
      </c>
      <c r="J5" s="48" t="inlineStr">
        <is>
          <t>合計金額(円)</t>
        </is>
      </c>
      <c r="K5" s="46" t="inlineStr">
        <is>
          <t>工数(人月)</t>
        </is>
      </c>
      <c r="L5" s="47" t="inlineStr">
        <is>
          <t>単価(円)</t>
        </is>
      </c>
      <c r="M5" s="48" t="inlineStr">
        <is>
          <t>合計金額(円)</t>
        </is>
      </c>
      <c r="N5" s="49" t="inlineStr">
        <is>
          <t>工数(人月)</t>
        </is>
      </c>
      <c r="O5" s="50" t="inlineStr">
        <is>
          <t>合計金額(円)</t>
        </is>
      </c>
    </row>
    <row r="6">
      <c r="B6" s="51" t="inlineStr">
        <is>
          <t>MINTZU HNIN KHAT ※プロジェクトの監視・週次チェック</t>
        </is>
      </c>
      <c r="C6" s="51" t="inlineStr">
        <is>
          <t>マネージャー</t>
        </is>
      </c>
      <c r="D6" s="52" t="n"/>
      <c r="E6" s="109" t="n">
        <v>0.2</v>
      </c>
      <c r="F6" s="54" t="n"/>
      <c r="G6" s="55">
        <f>E6*F6</f>
        <v/>
      </c>
      <c r="H6" s="109" t="n">
        <v>0.2</v>
      </c>
      <c r="I6" s="54" t="n"/>
      <c r="J6" s="55">
        <f>H6*I6</f>
        <v/>
      </c>
      <c r="K6" s="109" t="n"/>
      <c r="L6" s="54" t="n"/>
      <c r="M6" s="55">
        <f>K6*L6</f>
        <v/>
      </c>
      <c r="N6" s="110">
        <f>SUMIF($E$5:$M$5,N$5,$E6:$M6)</f>
        <v/>
      </c>
      <c r="O6" s="110">
        <f>SUMIF($E$5:$M$5,O$5,$E6:$M6)</f>
        <v/>
      </c>
    </row>
    <row r="7">
      <c r="B7" s="51" t="inlineStr">
        <is>
          <t>HNIN SU HLAING</t>
        </is>
      </c>
      <c r="C7" s="51" t="inlineStr">
        <is>
          <t>リーダー</t>
        </is>
      </c>
      <c r="D7" s="52" t="n"/>
      <c r="E7" s="109" t="n">
        <v>1</v>
      </c>
      <c r="F7" s="54" t="n"/>
      <c r="G7" s="55">
        <f>E7*F7</f>
        <v/>
      </c>
      <c r="H7" s="109" t="n">
        <v>0.25</v>
      </c>
      <c r="I7" s="54" t="n"/>
      <c r="J7" s="55">
        <f>H7*I7</f>
        <v/>
      </c>
      <c r="K7" s="109" t="n"/>
      <c r="L7" s="54" t="n"/>
      <c r="M7" s="55">
        <f>K7*L7</f>
        <v/>
      </c>
      <c r="N7" s="110">
        <f>SUMIF($E$5:$M$5,N$5,$E7:$M7)</f>
        <v/>
      </c>
      <c r="O7" s="110">
        <f>SUMIF($E$5:$M$5,O$5,$E7:$M7)</f>
        <v/>
      </c>
    </row>
    <row r="8">
      <c r="B8" s="51" t="inlineStr">
        <is>
          <t>KAUNG HTET SAN</t>
        </is>
      </c>
      <c r="C8" s="57" t="inlineStr">
        <is>
          <t>エンジニア</t>
        </is>
      </c>
      <c r="D8" s="52" t="n"/>
      <c r="E8" s="109" t="n">
        <v>1</v>
      </c>
      <c r="F8" s="54" t="n"/>
      <c r="G8" s="55">
        <f>E8*F8</f>
        <v/>
      </c>
      <c r="H8" s="109" t="n">
        <v>0.25</v>
      </c>
      <c r="I8" s="54" t="n"/>
      <c r="J8" s="55">
        <f>H8*I8</f>
        <v/>
      </c>
      <c r="K8" s="109" t="n"/>
      <c r="L8" s="54" t="n"/>
      <c r="M8" s="55">
        <f>K8*L8</f>
        <v/>
      </c>
      <c r="N8" s="110">
        <f>SUMIF($E$5:$M$5,N$5,$E8:$M8)</f>
        <v/>
      </c>
      <c r="O8" s="110">
        <f>SUMIF($E$5:$M$5,O$5,$E8:$M8)</f>
        <v/>
      </c>
    </row>
    <row r="9">
      <c r="B9" s="51" t="inlineStr">
        <is>
          <t>YOON MYAT CHERRY OO</t>
        </is>
      </c>
      <c r="C9" s="57" t="inlineStr">
        <is>
          <t>エンジニア</t>
        </is>
      </c>
      <c r="D9" s="52" t="n"/>
      <c r="E9" s="109" t="n">
        <v>1</v>
      </c>
      <c r="F9" s="54" t="n"/>
      <c r="G9" s="55">
        <f>E9*F9</f>
        <v/>
      </c>
      <c r="H9" s="109" t="n">
        <v>0.25</v>
      </c>
      <c r="I9" s="54" t="n"/>
      <c r="J9" s="55">
        <f>H9*I9</f>
        <v/>
      </c>
      <c r="K9" s="109" t="n"/>
      <c r="L9" s="54" t="n"/>
      <c r="M9" s="55">
        <f>K9*L9</f>
        <v/>
      </c>
      <c r="N9" s="110">
        <f>SUMIF($E$5:$M$5,N$5,$E9:$M9)</f>
        <v/>
      </c>
      <c r="O9" s="110">
        <f>SUMIF($E$5:$M$5,O$5,$E9:$M9)</f>
        <v/>
      </c>
    </row>
    <row r="10">
      <c r="B10" s="51" t="inlineStr">
        <is>
          <t>AUNG PYAE SONE HTUN</t>
        </is>
      </c>
      <c r="C10" s="57" t="inlineStr">
        <is>
          <t>エンジニア</t>
        </is>
      </c>
      <c r="D10" s="52" t="n"/>
      <c r="E10" s="109" t="n">
        <v>1</v>
      </c>
      <c r="F10" s="54" t="n"/>
      <c r="G10" s="55">
        <f>E10*F10</f>
        <v/>
      </c>
      <c r="H10" s="109" t="n">
        <v>0.25</v>
      </c>
      <c r="I10" s="54" t="n"/>
      <c r="J10" s="55">
        <f>H10*I10</f>
        <v/>
      </c>
      <c r="K10" s="109" t="n"/>
      <c r="L10" s="54" t="n"/>
      <c r="M10" s="55">
        <f>K10*L10</f>
        <v/>
      </c>
      <c r="N10" s="110">
        <f>SUMIF($E$5:$M$5,N$5,$E10:$M10)</f>
        <v/>
      </c>
      <c r="O10" s="110">
        <f>SUMIF($E$5:$M$5,O$5,$E10:$M10)</f>
        <v/>
      </c>
    </row>
    <row r="11">
      <c r="B11" s="51" t="n"/>
      <c r="C11" s="57" t="n"/>
      <c r="D11" s="52" t="n"/>
      <c r="E11" s="109" t="n"/>
      <c r="F11" s="54" t="n"/>
      <c r="G11" s="55" t="n"/>
      <c r="H11" s="109" t="n"/>
      <c r="I11" s="54" t="n"/>
      <c r="J11" s="55" t="n"/>
      <c r="K11" s="109" t="n"/>
      <c r="L11" s="54" t="n"/>
      <c r="M11" s="55" t="n"/>
      <c r="N11" s="110">
        <f>SUMIF($E$5:$M$5,N$5,$E11:$M11)</f>
        <v/>
      </c>
      <c r="O11" s="110">
        <f>SUMIF($E$5:$M$5,O$5,$E11:$M11)</f>
        <v/>
      </c>
    </row>
    <row r="12">
      <c r="B12" s="92" t="inlineStr">
        <is>
          <t>合計</t>
        </is>
      </c>
      <c r="C12" s="104" t="n"/>
      <c r="D12" s="10" t="n"/>
      <c r="E12" s="111">
        <f>SUM(E6:E11)</f>
        <v/>
      </c>
      <c r="F12" s="112" t="inlineStr">
        <is>
          <t>-</t>
        </is>
      </c>
      <c r="G12" s="60">
        <f>SUM(G6:G11)</f>
        <v/>
      </c>
      <c r="H12" s="111">
        <f>SUM(H6:H11)</f>
        <v/>
      </c>
      <c r="I12" s="112" t="inlineStr">
        <is>
          <t>-</t>
        </is>
      </c>
      <c r="J12" s="60">
        <f>SUM(J6:J11)</f>
        <v/>
      </c>
      <c r="K12" s="111">
        <f>SUM(K6:K11)</f>
        <v/>
      </c>
      <c r="L12" s="112" t="inlineStr">
        <is>
          <t>-</t>
        </is>
      </c>
      <c r="M12" s="60">
        <f>SUM(M6:M11)</f>
        <v/>
      </c>
      <c r="N12" s="111">
        <f>SUM(N6:N11)</f>
        <v/>
      </c>
      <c r="O12" s="60">
        <f>SUM(O6:O11)</f>
        <v/>
      </c>
    </row>
    <row r="14">
      <c r="A14" s="43" t="n"/>
      <c r="B14" s="45" t="inlineStr">
        <is>
          <t>ブライセン（カンボジア）</t>
        </is>
      </c>
    </row>
    <row r="15">
      <c r="B15" s="93" t="inlineStr">
        <is>
          <t>メンバー</t>
        </is>
      </c>
      <c r="C15" s="93" t="inlineStr">
        <is>
          <t>役割</t>
        </is>
      </c>
      <c r="D15" s="93" t="inlineStr">
        <is>
          <t>等級</t>
        </is>
      </c>
      <c r="E15" s="108" t="inlineStr">
        <is>
          <t>2026/03</t>
        </is>
      </c>
      <c r="F15" s="104" t="n"/>
      <c r="G15" s="10" t="n"/>
      <c r="H15" s="108" t="inlineStr">
        <is>
          <t>2026/04</t>
        </is>
      </c>
      <c r="I15" s="104" t="n"/>
      <c r="J15" s="10" t="n"/>
      <c r="K15" s="108" t="inlineStr">
        <is>
          <t>2026/05</t>
        </is>
      </c>
      <c r="L15" s="104" t="n"/>
      <c r="M15" s="10" t="n"/>
      <c r="N15" s="91" t="inlineStr">
        <is>
          <t>合計</t>
        </is>
      </c>
      <c r="O15" s="10" t="n"/>
    </row>
    <row r="16">
      <c r="B16" s="95" t="n"/>
      <c r="C16" s="95" t="n"/>
      <c r="D16" s="95" t="n"/>
      <c r="E16" s="46" t="inlineStr">
        <is>
          <t>工数(人月)</t>
        </is>
      </c>
      <c r="F16" s="47" t="inlineStr">
        <is>
          <t>単価(円)</t>
        </is>
      </c>
      <c r="G16" s="48" t="inlineStr">
        <is>
          <t>合計金額(円)</t>
        </is>
      </c>
      <c r="H16" s="46" t="inlineStr">
        <is>
          <t>工数(人月)</t>
        </is>
      </c>
      <c r="I16" s="47" t="inlineStr">
        <is>
          <t>単価(円)</t>
        </is>
      </c>
      <c r="J16" s="48" t="inlineStr">
        <is>
          <t>合計金額(円)</t>
        </is>
      </c>
      <c r="K16" s="46" t="inlineStr">
        <is>
          <t>工数(人月)</t>
        </is>
      </c>
      <c r="L16" s="47" t="inlineStr">
        <is>
          <t>単価(円)</t>
        </is>
      </c>
      <c r="M16" s="48" t="inlineStr">
        <is>
          <t>合計金額(円)</t>
        </is>
      </c>
      <c r="N16" s="49" t="inlineStr">
        <is>
          <t>工数(人月)</t>
        </is>
      </c>
      <c r="O16" s="50" t="inlineStr">
        <is>
          <t>合計金額(円)</t>
        </is>
      </c>
    </row>
    <row r="17">
      <c r="B17" s="51" t="inlineStr">
        <is>
          <t>PHYO NAING HTUN</t>
        </is>
      </c>
      <c r="C17" s="57" t="inlineStr">
        <is>
          <t>エンジニア</t>
        </is>
      </c>
      <c r="D17" s="52" t="n"/>
      <c r="E17" s="109" t="n">
        <v>1</v>
      </c>
      <c r="F17" s="54" t="n"/>
      <c r="G17" s="55">
        <f>E17*F17</f>
        <v/>
      </c>
      <c r="H17" s="109" t="n">
        <v>0.25</v>
      </c>
      <c r="I17" s="54" t="n"/>
      <c r="J17" s="55">
        <f>H17*I17</f>
        <v/>
      </c>
      <c r="K17" s="109" t="n"/>
      <c r="L17" s="54" t="n"/>
      <c r="M17" s="55">
        <f>K17*L17</f>
        <v/>
      </c>
      <c r="N17" s="110">
        <f>SUMIF($E$16:$M$16,N$16,$E17:$M17)</f>
        <v/>
      </c>
      <c r="O17" s="110">
        <f>SUMIF($E$16:$M$16,O$16,$E17:$M17)</f>
        <v/>
      </c>
    </row>
    <row r="18">
      <c r="B18" s="51" t="n"/>
      <c r="C18" s="57" t="n"/>
      <c r="D18" s="52" t="n"/>
      <c r="E18" s="109" t="n"/>
      <c r="F18" s="54" t="n"/>
      <c r="G18" s="55" t="n"/>
      <c r="H18" s="109" t="n"/>
      <c r="I18" s="54" t="n"/>
      <c r="J18" s="55" t="n"/>
      <c r="K18" s="109" t="n"/>
      <c r="L18" s="54" t="n"/>
      <c r="M18" s="55" t="n"/>
      <c r="N18" s="110">
        <f>SUMIF($E$16:$M$16,N$16,$E18:$M18)</f>
        <v/>
      </c>
      <c r="O18" s="110">
        <f>SUMIF($E$16:$M$16,O$16,$E18:$M18)</f>
        <v/>
      </c>
    </row>
    <row r="19">
      <c r="B19" s="92" t="inlineStr">
        <is>
          <t>合計</t>
        </is>
      </c>
      <c r="C19" s="104" t="n"/>
      <c r="D19" s="10" t="n"/>
      <c r="E19" s="111">
        <f>SUM(E17:E18)</f>
        <v/>
      </c>
      <c r="F19" s="112" t="inlineStr">
        <is>
          <t>-</t>
        </is>
      </c>
      <c r="G19" s="60">
        <f>SUM(G17:G18)</f>
        <v/>
      </c>
      <c r="H19" s="111">
        <f>SUM(H17:H18)</f>
        <v/>
      </c>
      <c r="I19" s="112" t="inlineStr">
        <is>
          <t>-</t>
        </is>
      </c>
      <c r="J19" s="60">
        <f>SUM(J17:J18)</f>
        <v/>
      </c>
      <c r="K19" s="111">
        <f>SUM(K17:K18)</f>
        <v/>
      </c>
      <c r="L19" s="112" t="inlineStr">
        <is>
          <t>-</t>
        </is>
      </c>
      <c r="M19" s="60">
        <f>SUM(M17:M18)</f>
        <v/>
      </c>
      <c r="N19" s="111">
        <f>SUM(N17:N18)</f>
        <v/>
      </c>
      <c r="O19" s="60">
        <f>SUM(O17:O18)</f>
        <v/>
      </c>
    </row>
  </sheetData>
  <mergeCells count="16">
    <mergeCell ref="H15:J15"/>
    <mergeCell ref="D15:D16"/>
    <mergeCell ref="B19:D19"/>
    <mergeCell ref="B4:B5"/>
    <mergeCell ref="N15:O15"/>
    <mergeCell ref="C4:C5"/>
    <mergeCell ref="K4:M4"/>
    <mergeCell ref="D4:D5"/>
    <mergeCell ref="H4:J4"/>
    <mergeCell ref="B15:B16"/>
    <mergeCell ref="C15:C16"/>
    <mergeCell ref="E4:G4"/>
    <mergeCell ref="B12:D12"/>
    <mergeCell ref="E15:G15"/>
    <mergeCell ref="N4:O4"/>
    <mergeCell ref="K15:M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BCMM-164</dc:creator>
  <dcterms:created xsi:type="dcterms:W3CDTF">2023-05-17T08:35:34Z</dcterms:created>
  <dcterms:modified xsi:type="dcterms:W3CDTF">2026-08-06T09:17:57Z</dcterms:modified>
  <cp:lastModifiedBy>Guest User</cp:lastModifiedBy>
</cp:coreProperties>
</file>