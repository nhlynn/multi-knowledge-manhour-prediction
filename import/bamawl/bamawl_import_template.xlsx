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00" tabRatio="695" firstSheet="2" activeTab="3" autoFilterDateGrouping="1"/>
  </bookViews>
  <sheets>
    <sheet xmlns:r="http://schemas.openxmlformats.org/officeDocument/2006/relationships" name="ReqDefinition" sheetId="1" state="visible" r:id="rId1"/>
    <sheet xmlns:r="http://schemas.openxmlformats.org/officeDocument/2006/relationships" name="FunctionList" sheetId="2" state="visible" r:id="rId2"/>
    <sheet xmlns:r="http://schemas.openxmlformats.org/officeDocument/2006/relationships" name="TotalManhour" sheetId="3" state="visible" r:id="rId3"/>
    <sheet xmlns:r="http://schemas.openxmlformats.org/officeDocument/2006/relationships" name="ALL_Detail" sheetId="4" state="visible" r:id="rId4"/>
    <sheet xmlns:r="http://schemas.openxmlformats.org/officeDocument/2006/relationships" name="Infra Manhour" sheetId="5" state="visible" r:id="rId5"/>
    <sheet xmlns:r="http://schemas.openxmlformats.org/officeDocument/2006/relationships" name="Business Flow(system admin)" sheetId="6" state="visible" r:id="rId6"/>
    <sheet xmlns:r="http://schemas.openxmlformats.org/officeDocument/2006/relationships" name="Milestone" sheetId="7" state="hidden" r:id="rId7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0.0000000000000"/>
    <numFmt numFmtId="165" formatCode="0.0"/>
    <numFmt numFmtId="166" formatCode="0.000"/>
    <numFmt numFmtId="167" formatCode="_-* #,##0.00_-;\-* #,##0.00_-;_-* &quot;-&quot;??_-;_-@_-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Meiryo UI"/>
      <charset val="128"/>
      <family val="3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006100"/>
      <sz val="11"/>
      <scheme val="minor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sz val="10"/>
    </font>
    <font>
      <name val="Arial"/>
      <family val="2"/>
      <color theme="1"/>
      <sz val="14"/>
      <u val="single"/>
    </font>
    <font>
      <name val="Arial"/>
      <family val="2"/>
      <color theme="1"/>
      <sz val="10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i val="1"/>
      <color rgb="FF0000FF"/>
      <sz val="11"/>
      <u val="single"/>
      <scheme val="minor"/>
    </font>
    <font>
      <name val="Calibri"/>
      <family val="2"/>
      <color rgb="FF0000FF"/>
      <sz val="11"/>
      <scheme val="minor"/>
    </font>
    <font>
      <name val="Meiryo UI"/>
      <charset val="128"/>
      <family val="3"/>
      <color theme="1"/>
      <sz val="11"/>
    </font>
  </fonts>
  <fills count="21">
    <fill>
      <patternFill/>
    </fill>
    <fill>
      <patternFill patternType="gray125"/>
    </fill>
    <fill>
      <patternFill patternType="solid">
        <fgColor rgb="FFCAF8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EB9C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19" fillId="0" borderId="0"/>
    <xf numFmtId="0" fontId="4" fillId="0" borderId="0"/>
    <xf numFmtId="0" fontId="12" fillId="13" borderId="0"/>
    <xf numFmtId="43" fontId="19" fillId="0" borderId="0"/>
    <xf numFmtId="0" fontId="20" fillId="20" borderId="0"/>
    <xf numFmtId="167" fontId="19" fillId="0" borderId="0"/>
  </cellStyleXfs>
  <cellXfs count="25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" fontId="0" fillId="2" borderId="6" applyAlignment="1" pivotButton="0" quotePrefix="0" xfId="0">
      <alignment vertical="center"/>
    </xf>
    <xf numFmtId="2" fontId="0" fillId="2" borderId="7" applyAlignment="1" pivotButton="0" quotePrefix="0" xfId="0">
      <alignment vertical="center"/>
    </xf>
    <xf numFmtId="2" fontId="0" fillId="2" borderId="8" applyAlignment="1" pivotButton="0" quotePrefix="0" xfId="0">
      <alignment vertical="center"/>
    </xf>
    <xf numFmtId="2" fontId="0" fillId="2" borderId="13" applyAlignment="1" pivotButton="0" quotePrefix="0" xfId="0">
      <alignment vertical="center"/>
    </xf>
    <xf numFmtId="2" fontId="0" fillId="2" borderId="14" applyAlignment="1" pivotButton="0" quotePrefix="0" xfId="0">
      <alignment vertical="center"/>
    </xf>
    <xf numFmtId="0" fontId="2" fillId="3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3" borderId="18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2" fillId="0" borderId="8" applyAlignment="1" pivotButton="0" quotePrefix="0" xfId="0">
      <alignment vertical="center" wrapText="1"/>
    </xf>
    <xf numFmtId="0" fontId="2" fillId="3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8" applyAlignment="1" pivotButton="0" quotePrefix="1" xfId="0">
      <alignment vertical="center"/>
    </xf>
    <xf numFmtId="0" fontId="5" fillId="4" borderId="8" applyAlignment="1" pivotButton="0" quotePrefix="0" xfId="1">
      <alignment vertical="center" wrapText="1"/>
    </xf>
    <xf numFmtId="0" fontId="5" fillId="5" borderId="8" applyAlignment="1" pivotButton="0" quotePrefix="0" xfId="1">
      <alignment vertical="center" wrapText="1"/>
    </xf>
    <xf numFmtId="0" fontId="5" fillId="0" borderId="8" applyAlignment="1" pivotButton="0" quotePrefix="0" xfId="1">
      <alignment vertical="center" wrapText="1"/>
    </xf>
    <xf numFmtId="0" fontId="5" fillId="6" borderId="8" applyAlignment="1" pivotButton="0" quotePrefix="0" xfId="1">
      <alignment vertical="center" wrapText="1"/>
    </xf>
    <xf numFmtId="0" fontId="5" fillId="6" borderId="8" applyAlignment="1" pivotButton="0" quotePrefix="0" xfId="1">
      <alignment horizontal="center" vertical="center" wrapText="1"/>
    </xf>
    <xf numFmtId="0" fontId="5" fillId="7" borderId="8" applyAlignment="1" pivotButton="0" quotePrefix="0" xfId="1">
      <alignment vertical="center" wrapText="1"/>
    </xf>
    <xf numFmtId="0" fontId="1" fillId="8" borderId="8" applyAlignment="1" pivotButton="0" quotePrefix="0" xfId="0">
      <alignment horizontal="center" vertical="center"/>
    </xf>
    <xf numFmtId="9" fontId="6" fillId="9" borderId="0" applyAlignment="1" pivotButton="0" quotePrefix="0" xfId="1">
      <alignment vertical="center" wrapText="1"/>
    </xf>
    <xf numFmtId="0" fontId="5" fillId="0" borderId="0" applyAlignment="1" pivotButton="0" quotePrefix="0" xfId="1">
      <alignment vertical="center" wrapText="1"/>
    </xf>
    <xf numFmtId="9" fontId="6" fillId="6" borderId="8" applyAlignment="1" pivotButton="0" quotePrefix="0" xfId="1">
      <alignment vertical="center" wrapText="1"/>
    </xf>
    <xf numFmtId="0" fontId="5" fillId="9" borderId="0" applyAlignment="1" pivotButton="0" quotePrefix="0" xfId="1">
      <alignment vertical="center" shrinkToFit="1"/>
    </xf>
    <xf numFmtId="0" fontId="5" fillId="0" borderId="0" applyAlignment="1" pivotButton="0" quotePrefix="0" xfId="1">
      <alignment vertical="center" shrinkToFit="1"/>
    </xf>
    <xf numFmtId="9" fontId="9" fillId="9" borderId="0" applyAlignment="1" pivotButton="0" quotePrefix="0" xfId="1">
      <alignment vertical="center" wrapText="1"/>
    </xf>
    <xf numFmtId="9" fontId="6" fillId="9" borderId="22" applyAlignment="1" pivotButton="0" quotePrefix="0" xfId="1">
      <alignment vertical="center" wrapText="1"/>
    </xf>
    <xf numFmtId="9" fontId="6" fillId="9" borderId="23" applyAlignment="1" pivotButton="0" quotePrefix="0" xfId="1">
      <alignment vertical="center" wrapText="1"/>
    </xf>
    <xf numFmtId="0" fontId="0" fillId="11" borderId="8" applyAlignment="1" pivotButton="0" quotePrefix="0" xfId="0">
      <alignment horizontal="left" vertical="center" wrapText="1"/>
    </xf>
    <xf numFmtId="0" fontId="0" fillId="11" borderId="8" applyAlignment="1" pivotButton="0" quotePrefix="0" xfId="0">
      <alignment vertical="center"/>
    </xf>
    <xf numFmtId="0" fontId="3" fillId="0" borderId="18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0" fillId="0" borderId="18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8" applyAlignment="1" pivotButton="0" quotePrefix="0" xfId="0">
      <alignment horizontal="right" vertical="center" wrapText="1"/>
    </xf>
    <xf numFmtId="0" fontId="0" fillId="0" borderId="18" applyAlignment="1" pivotButton="0" quotePrefix="0" xfId="0">
      <alignment horizontal="right" vertical="center" wrapText="1"/>
    </xf>
    <xf numFmtId="0" fontId="0" fillId="11" borderId="8" applyAlignment="1" pivotButton="0" quotePrefix="0" xfId="0">
      <alignment vertical="center" wrapText="1"/>
    </xf>
    <xf numFmtId="0" fontId="14" fillId="10" borderId="13" applyAlignment="1" pivotButton="0" quotePrefix="0" xfId="0">
      <alignment horizontal="right" vertical="center" wrapText="1"/>
    </xf>
    <xf numFmtId="0" fontId="14" fillId="10" borderId="7" applyAlignment="1" pivotButton="0" quotePrefix="0" xfId="0">
      <alignment horizontal="right" vertical="center" wrapText="1"/>
    </xf>
    <xf numFmtId="0" fontId="14" fillId="10" borderId="2" applyAlignment="1" pivotButton="0" quotePrefix="0" xfId="0">
      <alignment horizontal="right" vertical="center" wrapText="1"/>
    </xf>
    <xf numFmtId="0" fontId="13" fillId="0" borderId="8" applyAlignment="1" pivotButton="0" quotePrefix="0" xfId="0">
      <alignment horizontal="left" indent="2"/>
    </xf>
    <xf numFmtId="0" fontId="5" fillId="5" borderId="8" applyAlignment="1" pivotButton="0" quotePrefix="0" xfId="1">
      <alignment horizontal="center" vertical="center" wrapText="1"/>
    </xf>
    <xf numFmtId="0" fontId="12" fillId="13" borderId="8" applyAlignment="1" pivotButton="0" quotePrefix="0" xfId="2">
      <alignment horizontal="center" vertical="center"/>
    </xf>
    <xf numFmtId="0" fontId="0" fillId="14" borderId="8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7" borderId="8" applyAlignment="1" pivotButton="0" quotePrefix="0" xfId="0">
      <alignment vertical="center" wrapText="1"/>
    </xf>
    <xf numFmtId="2" fontId="0" fillId="15" borderId="14" applyAlignment="1" pivotButton="0" quotePrefix="0" xfId="0">
      <alignment vertical="center"/>
    </xf>
    <xf numFmtId="2" fontId="0" fillId="15" borderId="13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0" fontId="12" fillId="13" borderId="8" applyAlignment="1" pivotButton="0" quotePrefix="0" xfId="2">
      <alignment vertical="center"/>
    </xf>
    <xf numFmtId="2" fontId="13" fillId="0" borderId="8" applyAlignment="1" pivotButton="0" quotePrefix="0" xfId="0">
      <alignment horizontal="center" vertical="center"/>
    </xf>
    <xf numFmtId="2" fontId="13" fillId="10" borderId="12" applyAlignment="1" pivotButton="0" quotePrefix="0" xfId="0">
      <alignment horizontal="center" vertical="center"/>
    </xf>
    <xf numFmtId="2" fontId="13" fillId="10" borderId="6" applyAlignment="1" pivotButton="0" quotePrefix="0" xfId="0">
      <alignment horizontal="center" vertical="center"/>
    </xf>
    <xf numFmtId="2" fontId="0" fillId="14" borderId="8" applyAlignment="1" pivotButton="0" quotePrefix="0" xfId="0">
      <alignment vertical="center"/>
    </xf>
    <xf numFmtId="2" fontId="0" fillId="2" borderId="29" applyAlignment="1" pivotButton="0" quotePrefix="0" xfId="0">
      <alignment vertical="center"/>
    </xf>
    <xf numFmtId="2" fontId="0" fillId="2" borderId="18" applyAlignment="1" pivotButton="0" quotePrefix="0" xfId="0">
      <alignment vertical="center"/>
    </xf>
    <xf numFmtId="2" fontId="0" fillId="2" borderId="30" applyAlignment="1" pivotButton="0" quotePrefix="0" xfId="0">
      <alignment vertical="center"/>
    </xf>
    <xf numFmtId="2" fontId="0" fillId="17" borderId="8" applyAlignment="1" pivotButton="0" quotePrefix="0" xfId="0">
      <alignment vertical="center"/>
    </xf>
    <xf numFmtId="2" fontId="0" fillId="17" borderId="14" applyAlignment="1" pivotButton="0" quotePrefix="0" xfId="0">
      <alignment vertical="center"/>
    </xf>
    <xf numFmtId="2" fontId="0" fillId="17" borderId="12" applyAlignment="1" pivotButton="0" quotePrefix="0" xfId="0">
      <alignment vertical="center"/>
    </xf>
    <xf numFmtId="2" fontId="0" fillId="17" borderId="6" applyAlignment="1" pivotButton="0" quotePrefix="0" xfId="0">
      <alignment vertical="center"/>
    </xf>
    <xf numFmtId="2" fontId="0" fillId="17" borderId="3" applyAlignment="1" pivotButton="0" quotePrefix="0" xfId="0">
      <alignment vertical="center"/>
    </xf>
    <xf numFmtId="2" fontId="0" fillId="17" borderId="1" applyAlignment="1" pivotButton="0" quotePrefix="0" xfId="0">
      <alignment vertical="center"/>
    </xf>
    <xf numFmtId="2" fontId="0" fillId="18" borderId="14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8" applyAlignment="1" pivotButton="0" quotePrefix="0" xfId="0">
      <alignment horizontal="center" vertical="center"/>
    </xf>
    <xf numFmtId="0" fontId="17" fillId="16" borderId="8" applyAlignment="1" pivotButton="0" quotePrefix="0" xfId="0">
      <alignment horizontal="center"/>
    </xf>
    <xf numFmtId="0" fontId="17" fillId="16" borderId="8" pivotButton="0" quotePrefix="0" xfId="0"/>
    <xf numFmtId="0" fontId="17" fillId="16" borderId="26" applyAlignment="1" pivotButton="0" quotePrefix="0" xfId="0">
      <alignment horizontal="center"/>
    </xf>
    <xf numFmtId="0" fontId="17" fillId="0" borderId="24" pivotButton="0" quotePrefix="0" xfId="0"/>
    <xf numFmtId="0" fontId="17" fillId="0" borderId="24" applyAlignment="1" pivotButton="0" quotePrefix="0" xfId="0">
      <alignment horizontal="center"/>
    </xf>
    <xf numFmtId="15" fontId="17" fillId="0" borderId="24" applyAlignment="1" pivotButton="0" quotePrefix="0" xfId="0">
      <alignment horizontal="center"/>
    </xf>
    <xf numFmtId="15" fontId="17" fillId="0" borderId="34" applyAlignment="1" pivotButton="0" quotePrefix="0" xfId="0">
      <alignment horizontal="center"/>
    </xf>
    <xf numFmtId="0" fontId="17" fillId="0" borderId="20" pivotButton="0" quotePrefix="0" xfId="0"/>
    <xf numFmtId="0" fontId="17" fillId="0" borderId="20" applyAlignment="1" pivotButton="0" quotePrefix="0" xfId="0">
      <alignment horizontal="center"/>
    </xf>
    <xf numFmtId="15" fontId="17" fillId="0" borderId="20" applyAlignment="1" pivotButton="0" quotePrefix="0" xfId="0">
      <alignment horizontal="center"/>
    </xf>
    <xf numFmtId="15" fontId="17" fillId="0" borderId="33" applyAlignment="1" pivotButton="0" quotePrefix="0" xfId="0">
      <alignment horizontal="left"/>
    </xf>
    <xf numFmtId="0" fontId="17" fillId="0" borderId="33" applyAlignment="1" pivotButton="0" quotePrefix="0" xfId="0">
      <alignment horizontal="left"/>
    </xf>
    <xf numFmtId="0" fontId="17" fillId="0" borderId="19" pivotButton="0" quotePrefix="0" xfId="0"/>
    <xf numFmtId="0" fontId="17" fillId="0" borderId="35" applyAlignment="1" pivotButton="0" quotePrefix="0" xfId="0">
      <alignment horizontal="left"/>
    </xf>
    <xf numFmtId="0" fontId="0" fillId="0" borderId="26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43" pivotButton="0" quotePrefix="0" xfId="0"/>
    <xf numFmtId="0" fontId="0" fillId="0" borderId="18" pivotButton="0" quotePrefix="0" xfId="0"/>
    <xf numFmtId="0" fontId="0" fillId="0" borderId="44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35" pivotButton="0" quotePrefix="0" xfId="0"/>
    <xf numFmtId="0" fontId="0" fillId="7" borderId="7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0" fillId="7" borderId="26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3" fontId="0" fillId="0" borderId="0" applyAlignment="1" pivotButton="0" quotePrefix="0" xfId="3">
      <alignment vertical="center"/>
    </xf>
    <xf numFmtId="43" fontId="0" fillId="0" borderId="0" applyAlignment="1" pivotButton="0" quotePrefix="0" xfId="3">
      <alignment vertical="center"/>
    </xf>
    <xf numFmtId="0" fontId="12" fillId="0" borderId="48" applyAlignment="1" pivotButton="0" quotePrefix="0" xfId="2">
      <alignment horizontal="center" vertical="center"/>
    </xf>
    <xf numFmtId="0" fontId="19" fillId="0" borderId="8" applyAlignment="1" pivotButton="0" quotePrefix="0" xfId="4">
      <alignment vertical="center"/>
    </xf>
    <xf numFmtId="0" fontId="0" fillId="0" borderId="8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166" fontId="0" fillId="0" borderId="48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7" borderId="8" applyAlignment="1" pivotButton="0" quotePrefix="0" xfId="1">
      <alignment horizontal="center" vertical="center" wrapText="1"/>
    </xf>
    <xf numFmtId="0" fontId="13" fillId="0" borderId="8" applyAlignment="1" pivotButton="0" quotePrefix="0" xfId="0">
      <alignment horizontal="left" vertical="center"/>
    </xf>
    <xf numFmtId="0" fontId="13" fillId="0" borderId="8" applyAlignment="1" pivotButton="0" quotePrefix="0" xfId="0">
      <alignment horizontal="left" vertical="center" wrapText="1"/>
    </xf>
    <xf numFmtId="0" fontId="13" fillId="0" borderId="21" applyAlignment="1" pivotButton="0" quotePrefix="0" xfId="0">
      <alignment horizontal="left" vertical="center" wrapText="1"/>
    </xf>
    <xf numFmtId="0" fontId="13" fillId="0" borderId="21" applyAlignment="1" pivotButton="0" quotePrefix="0" xfId="0">
      <alignment horizontal="left" vertical="center"/>
    </xf>
    <xf numFmtId="2" fontId="15" fillId="0" borderId="8" applyAlignment="1" pivotButton="0" quotePrefix="0" xfId="0">
      <alignment horizontal="center"/>
    </xf>
    <xf numFmtId="2" fontId="13" fillId="0" borderId="8" applyAlignment="1" pivotButton="0" quotePrefix="0" xfId="0">
      <alignment horizontal="center" vertical="center"/>
    </xf>
    <xf numFmtId="0" fontId="23" fillId="12" borderId="8" applyAlignment="1" pivotButton="0" quotePrefix="0" xfId="0">
      <alignment horizontal="center" vertical="center"/>
    </xf>
    <xf numFmtId="0" fontId="23" fillId="0" borderId="8" applyAlignment="1" pivotButton="0" quotePrefix="0" xfId="0">
      <alignment vertical="center"/>
    </xf>
    <xf numFmtId="0" fontId="3" fillId="0" borderId="18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3" borderId="18" applyAlignment="1" pivotButton="0" quotePrefix="0" xfId="0">
      <alignment vertical="center" wrapText="1"/>
    </xf>
    <xf numFmtId="0" fontId="0" fillId="3" borderId="8" applyAlignment="1" pivotButton="0" quotePrefix="0" xfId="0">
      <alignment vertical="center"/>
    </xf>
    <xf numFmtId="2" fontId="0" fillId="3" borderId="18" applyAlignment="1" pivotButton="0" quotePrefix="0" xfId="0">
      <alignment vertical="center"/>
    </xf>
    <xf numFmtId="2" fontId="0" fillId="3" borderId="8" applyAlignment="1" pivotButton="0" quotePrefix="0" xfId="0">
      <alignment vertical="center"/>
    </xf>
    <xf numFmtId="2" fontId="13" fillId="10" borderId="1" applyAlignment="1" pivotButton="0" quotePrefix="0" xfId="0">
      <alignment horizontal="center" vertical="center"/>
    </xf>
    <xf numFmtId="0" fontId="23" fillId="0" borderId="8" applyAlignment="1" pivotButton="0" quotePrefix="0" xfId="0">
      <alignment vertical="center"/>
    </xf>
    <xf numFmtId="0" fontId="23" fillId="0" borderId="0" pivotButton="0" quotePrefix="0" xfId="0"/>
    <xf numFmtId="0" fontId="23" fillId="0" borderId="8" applyAlignment="1" pivotButton="0" quotePrefix="0" xfId="0">
      <alignment vertical="center" wrapText="1"/>
    </xf>
    <xf numFmtId="0" fontId="23" fillId="3" borderId="8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8" pivotButton="0" quotePrefix="0" xfId="0"/>
    <xf numFmtId="0" fontId="0" fillId="16" borderId="0" applyAlignment="1" pivotButton="0" quotePrefix="0" xfId="0">
      <alignment vertical="center"/>
    </xf>
    <xf numFmtId="0" fontId="1" fillId="10" borderId="8" applyAlignment="1" pivotButton="0" quotePrefix="0" xfId="0">
      <alignment horizontal="center" vertical="center"/>
    </xf>
    <xf numFmtId="0" fontId="1" fillId="1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" fillId="10" borderId="8" applyAlignment="1" pivotButton="0" quotePrefix="0" xfId="0">
      <alignment horizontal="center" vertical="center"/>
    </xf>
    <xf numFmtId="0" fontId="10" fillId="11" borderId="18" applyAlignment="1" pivotButton="0" quotePrefix="0" xfId="0">
      <alignment horizontal="left" vertical="center" wrapText="1"/>
    </xf>
    <xf numFmtId="0" fontId="0" fillId="11" borderId="20" applyAlignment="1" pivotButton="0" quotePrefix="0" xfId="0">
      <alignment horizontal="left" vertical="center" wrapText="1"/>
    </xf>
    <xf numFmtId="0" fontId="0" fillId="11" borderId="20" applyAlignment="1" pivotButton="0" quotePrefix="0" xfId="0">
      <alignment horizontal="left" vertical="center"/>
    </xf>
    <xf numFmtId="0" fontId="0" fillId="11" borderId="21" applyAlignment="1" pivotButton="0" quotePrefix="0" xfId="0">
      <alignment horizontal="left" vertical="center"/>
    </xf>
    <xf numFmtId="0" fontId="0" fillId="11" borderId="18" applyAlignment="1" pivotButton="0" quotePrefix="0" xfId="0">
      <alignment horizontal="left" vertical="center" wrapText="1"/>
    </xf>
    <xf numFmtId="0" fontId="0" fillId="11" borderId="21" applyAlignment="1" pivotButton="0" quotePrefix="0" xfId="0">
      <alignment horizontal="left" vertical="center" wrapText="1"/>
    </xf>
    <xf numFmtId="0" fontId="1" fillId="10" borderId="18" applyAlignment="1" pivotButton="0" quotePrefix="0" xfId="0">
      <alignment horizontal="center" vertical="center"/>
    </xf>
    <xf numFmtId="0" fontId="1" fillId="10" borderId="20" applyAlignment="1" pivotButton="0" quotePrefix="0" xfId="0">
      <alignment horizontal="center" vertical="center"/>
    </xf>
    <xf numFmtId="0" fontId="1" fillId="10" borderId="21" applyAlignment="1" pivotButton="0" quotePrefix="0" xfId="0">
      <alignment horizontal="center" vertical="center"/>
    </xf>
    <xf numFmtId="0" fontId="0" fillId="17" borderId="17" applyAlignment="1" pivotButton="0" quotePrefix="0" xfId="0">
      <alignment horizontal="right" vertical="center"/>
    </xf>
    <xf numFmtId="0" fontId="0" fillId="17" borderId="16" applyAlignment="1" pivotButton="0" quotePrefix="0" xfId="0">
      <alignment horizontal="right" vertical="center"/>
    </xf>
    <xf numFmtId="0" fontId="0" fillId="17" borderId="31" applyAlignment="1" pivotButton="0" quotePrefix="0" xfId="0">
      <alignment horizontal="right" vertical="center"/>
    </xf>
    <xf numFmtId="0" fontId="0" fillId="17" borderId="11" applyAlignment="1" pivotButton="0" quotePrefix="0" xfId="0">
      <alignment horizontal="right" vertical="center"/>
    </xf>
    <xf numFmtId="0" fontId="0" fillId="17" borderId="10" applyAlignment="1" pivotButton="0" quotePrefix="0" xfId="0">
      <alignment horizontal="right" vertical="center"/>
    </xf>
    <xf numFmtId="0" fontId="0" fillId="17" borderId="26" applyAlignment="1" pivotButton="0" quotePrefix="0" xfId="0">
      <alignment horizontal="right" vertical="center"/>
    </xf>
    <xf numFmtId="0" fontId="0" fillId="17" borderId="5" applyAlignment="1" pivotButton="0" quotePrefix="0" xfId="0">
      <alignment horizontal="right" vertical="center"/>
    </xf>
    <xf numFmtId="0" fontId="0" fillId="17" borderId="4" applyAlignment="1" pivotButton="0" quotePrefix="0" xfId="0">
      <alignment horizontal="right" vertical="center"/>
    </xf>
    <xf numFmtId="0" fontId="0" fillId="17" borderId="32" applyAlignment="1" pivotButton="0" quotePrefix="0" xfId="0">
      <alignment horizontal="right" vertical="center"/>
    </xf>
    <xf numFmtId="0" fontId="0" fillId="2" borderId="16" applyAlignment="1" pivotButton="0" quotePrefix="0" xfId="0">
      <alignment horizontal="right" vertical="center"/>
    </xf>
    <xf numFmtId="0" fontId="0" fillId="2" borderId="15" applyAlignment="1" pivotButton="0" quotePrefix="0" xfId="0">
      <alignment horizontal="right" vertical="center"/>
    </xf>
    <xf numFmtId="0" fontId="0" fillId="2" borderId="10" applyAlignment="1" pivotButton="0" quotePrefix="0" xfId="0">
      <alignment horizontal="right" vertical="center"/>
    </xf>
    <xf numFmtId="0" fontId="0" fillId="2" borderId="9" applyAlignment="1" pivotButton="0" quotePrefix="0" xfId="0">
      <alignment horizontal="right" vertical="center"/>
    </xf>
    <xf numFmtId="0" fontId="0" fillId="2" borderId="27" applyAlignment="1" pivotButton="0" quotePrefix="0" xfId="0">
      <alignment horizontal="right" vertical="center"/>
    </xf>
    <xf numFmtId="0" fontId="0" fillId="2" borderId="28" applyAlignment="1" pivotButton="0" quotePrefix="0" xfId="0">
      <alignment horizontal="right" vertical="center"/>
    </xf>
    <xf numFmtId="9" fontId="6" fillId="9" borderId="23" applyAlignment="1" pivotButton="0" quotePrefix="0" xfId="1">
      <alignment horizontal="center" vertical="center" wrapText="1"/>
    </xf>
    <xf numFmtId="9" fontId="6" fillId="6" borderId="8" applyAlignment="1" pivotButton="0" quotePrefix="0" xfId="1">
      <alignment horizontal="center" vertical="center" wrapText="1"/>
    </xf>
    <xf numFmtId="9" fontId="6" fillId="7" borderId="25" applyAlignment="1" pivotButton="0" quotePrefix="0" xfId="1">
      <alignment horizontal="center" vertical="center" wrapText="1"/>
    </xf>
    <xf numFmtId="9" fontId="6" fillId="7" borderId="26" applyAlignment="1" pivotButton="0" quotePrefix="0" xfId="1">
      <alignment horizontal="center" vertical="center" wrapText="1"/>
    </xf>
    <xf numFmtId="9" fontId="6" fillId="7" borderId="10" applyAlignment="1" pivotButton="0" quotePrefix="0" xfId="1">
      <alignment horizontal="center" vertical="center" wrapText="1"/>
    </xf>
    <xf numFmtId="9" fontId="6" fillId="7" borderId="8" applyAlignment="1" pivotButton="0" quotePrefix="0" xfId="1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 vertical="center"/>
    </xf>
    <xf numFmtId="0" fontId="0" fillId="2" borderId="17" applyAlignment="1" pivotButton="0" quotePrefix="0" xfId="0">
      <alignment horizontal="right" vertical="center"/>
    </xf>
    <xf numFmtId="0" fontId="0" fillId="2" borderId="11" applyAlignment="1" pivotButton="0" quotePrefix="0" xfId="0">
      <alignment horizontal="right" vertical="center"/>
    </xf>
    <xf numFmtId="0" fontId="0" fillId="2" borderId="5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16" fillId="11" borderId="0" applyAlignment="1" pivotButton="0" quotePrefix="0" xfId="0">
      <alignment horizontal="center" vertical="center"/>
    </xf>
    <xf numFmtId="0" fontId="16" fillId="11" borderId="23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/>
    </xf>
    <xf numFmtId="0" fontId="0" fillId="19" borderId="16" applyAlignment="1" pivotButton="0" quotePrefix="0" xfId="0">
      <alignment horizontal="center" vertical="center"/>
    </xf>
    <xf numFmtId="0" fontId="0" fillId="19" borderId="15" applyAlignment="1" pivotButton="0" quotePrefix="0" xfId="0">
      <alignment horizontal="center" vertical="center"/>
    </xf>
    <xf numFmtId="0" fontId="1" fillId="7" borderId="13" applyAlignment="1" pivotButton="0" quotePrefix="0" xfId="0">
      <alignment horizontal="center"/>
    </xf>
    <xf numFmtId="0" fontId="1" fillId="7" borderId="14" applyAlignment="1" pivotButton="0" quotePrefix="0" xfId="0">
      <alignment horizontal="center"/>
    </xf>
    <xf numFmtId="0" fontId="1" fillId="7" borderId="12" applyAlignment="1" pivotButton="0" quotePrefix="0" xfId="0">
      <alignment horizontal="center"/>
    </xf>
    <xf numFmtId="0" fontId="0" fillId="19" borderId="11" applyAlignment="1" pivotButton="0" quotePrefix="0" xfId="0">
      <alignment horizontal="center" vertical="center"/>
    </xf>
    <xf numFmtId="0" fontId="0" fillId="19" borderId="10" applyAlignment="1" pivotButton="0" quotePrefix="0" xfId="0">
      <alignment horizontal="center" vertical="center"/>
    </xf>
    <xf numFmtId="0" fontId="0" fillId="19" borderId="9" applyAlignment="1" pivotButton="0" quotePrefix="0" xfId="0">
      <alignment horizontal="center" vertical="center"/>
    </xf>
    <xf numFmtId="0" fontId="18" fillId="0" borderId="36" applyAlignment="1" pivotButton="0" quotePrefix="0" xfId="0">
      <alignment horizontal="center" vertical="center"/>
    </xf>
    <xf numFmtId="0" fontId="18" fillId="0" borderId="37" applyAlignment="1" pivotButton="0" quotePrefix="0" xfId="0">
      <alignment horizontal="center" vertical="center"/>
    </xf>
    <xf numFmtId="0" fontId="18" fillId="0" borderId="38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" fillId="7" borderId="13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31" applyAlignment="1" pivotButton="0" quotePrefix="0" xfId="0">
      <alignment horizontal="center" vertical="center"/>
    </xf>
    <xf numFmtId="0" fontId="1" fillId="7" borderId="39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19" borderId="7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19" borderId="6" applyAlignment="1" pivotButton="0" quotePrefix="0" xfId="0">
      <alignment horizontal="center" vertical="center"/>
    </xf>
    <xf numFmtId="0" fontId="0" fillId="19" borderId="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10" fillId="11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17" borderId="13" applyAlignment="1" pivotButton="0" quotePrefix="0" xfId="0">
      <alignment horizontal="right" vertical="center"/>
    </xf>
    <xf numFmtId="0" fontId="0" fillId="0" borderId="31" pivotButton="0" quotePrefix="0" xfId="0"/>
    <xf numFmtId="0" fontId="0" fillId="17" borderId="7" applyAlignment="1" pivotButton="0" quotePrefix="0" xfId="0">
      <alignment horizontal="right" vertical="center"/>
    </xf>
    <xf numFmtId="0" fontId="0" fillId="17" borderId="2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32" pivotButton="0" quotePrefix="0" xfId="0"/>
    <xf numFmtId="166" fontId="0" fillId="0" borderId="48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33" pivotButton="0" quotePrefix="0" xfId="0"/>
    <xf numFmtId="0" fontId="18" fillId="0" borderId="53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19" borderId="49" applyAlignment="1" pivotButton="0" quotePrefix="0" xfId="0">
      <alignment horizontal="center" vertical="center"/>
    </xf>
    <xf numFmtId="0" fontId="0" fillId="19" borderId="50" applyAlignment="1" pivotButton="0" quotePrefix="0" xfId="0">
      <alignment horizontal="center" vertical="center"/>
    </xf>
  </cellXfs>
  <cellStyles count="6">
    <cellStyle name="Normal" xfId="0" builtinId="0"/>
    <cellStyle name="標準 2 2" xfId="1"/>
    <cellStyle name="Good" xfId="2" builtinId="26"/>
    <cellStyle name="Comma" xfId="3" builtinId="3"/>
    <cellStyle name="Neutral" xfId="4" builtinId="28"/>
    <cellStyle name="Comma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16</col>
      <colOff>220980</colOff>
      <row>46</row>
      <rowOff>53340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974580" cy="84658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zoomScale="99" zoomScaleNormal="99" workbookViewId="0">
      <selection activeCell="B38" sqref="B38"/>
    </sheetView>
  </sheetViews>
  <sheetFormatPr baseColWidth="8" defaultRowHeight="14.5"/>
  <cols>
    <col width="6.26953125" customWidth="1" min="1" max="1"/>
    <col width="33.453125" customWidth="1" min="2" max="2"/>
    <col width="108.1796875" customWidth="1" min="3" max="3"/>
  </cols>
  <sheetData>
    <row r="1" ht="21" customHeight="1">
      <c r="B1" s="154" t="inlineStr">
        <is>
          <t>XXX Project</t>
        </is>
      </c>
    </row>
    <row r="3" ht="33.65" customHeight="1">
      <c r="B3" s="155" t="inlineStr">
        <is>
          <t>Purpose</t>
        </is>
      </c>
      <c r="C3" s="43" t="n"/>
    </row>
    <row r="4" ht="33.65" customHeight="1">
      <c r="B4" s="155" t="inlineStr">
        <is>
          <t>In Scope</t>
        </is>
      </c>
      <c r="C4" s="32" t="n"/>
    </row>
    <row r="5" ht="29.5" customHeight="1">
      <c r="B5" s="155" t="inlineStr">
        <is>
          <t>Document Specifications</t>
        </is>
      </c>
      <c r="C5" s="32" t="n"/>
    </row>
    <row r="6" ht="29.5" customHeight="1">
      <c r="B6" s="162" t="inlineStr">
        <is>
          <t>Functional Specifications</t>
        </is>
      </c>
      <c r="C6" s="33" t="n"/>
    </row>
    <row r="7" ht="14.5" customHeight="1">
      <c r="B7" s="155" t="inlineStr">
        <is>
          <t>Server Environment</t>
        </is>
      </c>
      <c r="C7" s="32" t="n"/>
    </row>
    <row r="8" ht="14.5" customHeight="1">
      <c r="B8" s="229" t="n"/>
      <c r="C8" s="229" t="n"/>
    </row>
    <row r="9" ht="14.5" customHeight="1">
      <c r="B9" s="229" t="n"/>
      <c r="C9" s="229" t="n"/>
    </row>
    <row r="10">
      <c r="B10" s="229" t="n"/>
      <c r="C10" s="229" t="n"/>
    </row>
    <row r="11" ht="14.5" customHeight="1">
      <c r="B11" s="230" t="n"/>
      <c r="C11" s="230" t="n"/>
    </row>
    <row r="12">
      <c r="B12" s="155" t="inlineStr">
        <is>
          <t>Out of Scope</t>
        </is>
      </c>
      <c r="C12" s="231" t="n"/>
    </row>
    <row r="13">
      <c r="B13" s="229" t="n"/>
      <c r="C13" s="229" t="n"/>
    </row>
    <row r="14">
      <c r="B14" s="229" t="n"/>
      <c r="C14" s="229" t="n"/>
    </row>
    <row r="15">
      <c r="B15" s="229" t="n"/>
      <c r="C15" s="229" t="n"/>
    </row>
    <row r="16">
      <c r="B16" s="229" t="n"/>
      <c r="C16" s="229" t="n"/>
    </row>
    <row r="17">
      <c r="B17" s="229" t="n"/>
      <c r="C17" s="229" t="n"/>
    </row>
    <row r="18">
      <c r="B18" s="229" t="n"/>
      <c r="C18" s="229" t="n"/>
    </row>
    <row r="19">
      <c r="B19" s="230" t="n"/>
      <c r="C19" s="230" t="n"/>
    </row>
  </sheetData>
  <mergeCells count="5">
    <mergeCell ref="C7:C11"/>
    <mergeCell ref="B12:B19"/>
    <mergeCell ref="C12:C19"/>
    <mergeCell ref="B7:B11"/>
    <mergeCell ref="B1:C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F21" sqref="F21"/>
    </sheetView>
  </sheetViews>
  <sheetFormatPr baseColWidth="8" defaultColWidth="8.81640625" defaultRowHeight="20.5" customHeight="1"/>
  <cols>
    <col width="8.81640625" customWidth="1" style="145" min="1" max="1"/>
    <col width="6.26953125" customWidth="1" style="148" min="2" max="2"/>
    <col width="66.7265625" customWidth="1" style="145" min="3" max="3"/>
    <col width="8.81640625" customWidth="1" style="145" min="4" max="16384"/>
  </cols>
  <sheetData>
    <row r="1" ht="20.5" customHeight="1">
      <c r="B1" s="129" t="inlineStr">
        <is>
          <t>No.</t>
        </is>
      </c>
      <c r="C1" s="129" t="inlineStr">
        <is>
          <t>Function Name</t>
        </is>
      </c>
    </row>
    <row r="2" ht="20.5" customHeight="1">
      <c r="B2" s="144" t="n">
        <v>1</v>
      </c>
      <c r="C2" s="144" t="n"/>
    </row>
    <row r="3" ht="20.5" customHeight="1">
      <c r="B3" s="144" t="n">
        <v>2</v>
      </c>
      <c r="C3" s="144" t="n"/>
    </row>
    <row r="4" ht="20.5" customHeight="1">
      <c r="B4" s="144" t="n">
        <v>3</v>
      </c>
      <c r="C4" s="146" t="n"/>
    </row>
    <row r="5" ht="20.5" customHeight="1">
      <c r="B5" s="144" t="n">
        <v>4</v>
      </c>
      <c r="C5" s="144" t="n"/>
    </row>
    <row r="6" ht="20.5" customHeight="1">
      <c r="B6" s="144" t="n">
        <v>5</v>
      </c>
      <c r="C6" s="144" t="n"/>
    </row>
    <row r="7" ht="20.5" customHeight="1">
      <c r="B7" s="144" t="n">
        <v>6</v>
      </c>
      <c r="C7" s="144" t="n"/>
    </row>
    <row r="8" ht="20.5" customHeight="1">
      <c r="B8" s="144" t="n">
        <v>7</v>
      </c>
      <c r="C8" s="144" t="n"/>
    </row>
    <row r="9" ht="20.5" customHeight="1">
      <c r="B9" s="144" t="n">
        <v>8</v>
      </c>
      <c r="C9" s="144" t="n"/>
    </row>
    <row r="10" ht="20.5" customHeight="1">
      <c r="B10" s="144" t="n">
        <v>9</v>
      </c>
      <c r="C10" s="144" t="n"/>
    </row>
    <row r="11" ht="20.5" customHeight="1">
      <c r="B11" s="144" t="n">
        <v>10</v>
      </c>
      <c r="C11" s="144" t="n"/>
    </row>
    <row r="12" ht="20.5" customHeight="1">
      <c r="B12" s="144" t="n">
        <v>11</v>
      </c>
      <c r="C12" s="144" t="n"/>
    </row>
    <row r="13" ht="20.25" customHeight="1">
      <c r="B13" s="144" t="n">
        <v>12</v>
      </c>
      <c r="C13" s="144" t="n"/>
    </row>
    <row r="14" ht="20.5" customHeight="1">
      <c r="B14" s="144" t="n">
        <v>13</v>
      </c>
      <c r="C14" s="144" t="n"/>
    </row>
    <row r="15" ht="20.5" customHeight="1">
      <c r="B15" s="144" t="n">
        <v>14</v>
      </c>
      <c r="C15" s="144" t="n"/>
    </row>
    <row r="16" ht="34.5" customHeight="1">
      <c r="B16" s="144" t="n">
        <v>15</v>
      </c>
      <c r="C16" s="146" t="n"/>
    </row>
    <row r="17" ht="20.5" customHeight="1">
      <c r="B17" s="144" t="n">
        <v>16</v>
      </c>
      <c r="C17" s="144" t="n"/>
    </row>
    <row r="18" ht="20.5" customHeight="1">
      <c r="B18" s="144" t="n">
        <v>17</v>
      </c>
      <c r="C18" s="149" t="n"/>
    </row>
    <row r="19" ht="20.5" customHeight="1">
      <c r="B19" s="144" t="n">
        <v>18</v>
      </c>
      <c r="C19" s="149" t="n"/>
    </row>
    <row r="20" ht="20.5" customHeight="1">
      <c r="B20" s="144" t="n">
        <v>19</v>
      </c>
      <c r="C20" s="144" t="n"/>
    </row>
    <row r="21" ht="20.5" customHeight="1">
      <c r="B21" s="144" t="n">
        <v>20</v>
      </c>
      <c r="C21" s="144" t="n"/>
    </row>
    <row r="22" ht="20.5" customHeight="1">
      <c r="B22" s="144" t="n">
        <v>21</v>
      </c>
      <c r="C22" s="147" t="n"/>
    </row>
    <row r="23" ht="20.5" customHeight="1">
      <c r="B23" s="144" t="n">
        <v>22</v>
      </c>
      <c r="C23" s="147" t="n"/>
    </row>
    <row r="24" ht="20.5" customHeight="1">
      <c r="B24" s="144" t="n">
        <v>23</v>
      </c>
      <c r="C24" s="147" t="n"/>
    </row>
    <row r="25" ht="20.5" customHeight="1">
      <c r="B25" s="144" t="n">
        <v>24</v>
      </c>
      <c r="C25" s="147" t="n"/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B1:F20"/>
  <sheetViews>
    <sheetView workbookViewId="0">
      <selection activeCell="E15" sqref="E15"/>
    </sheetView>
  </sheetViews>
  <sheetFormatPr baseColWidth="8" defaultColWidth="8.7265625" defaultRowHeight="14.5"/>
  <cols>
    <col width="8.7265625" customWidth="1" style="137" min="1" max="1"/>
    <col width="38.81640625" customWidth="1" style="137" min="2" max="2"/>
    <col width="16.453125" customWidth="1" style="35" min="3" max="3"/>
    <col width="8.7265625" customWidth="1" style="137" min="4" max="16384"/>
  </cols>
  <sheetData>
    <row r="1">
      <c r="B1" s="137" t="n"/>
      <c r="C1" s="37" t="inlineStr">
        <is>
          <t>全総概算工数</t>
        </is>
      </c>
      <c r="D1" s="137" t="n"/>
      <c r="E1" s="137" t="n"/>
      <c r="F1" s="137" t="n"/>
    </row>
    <row r="2" ht="16.9" customHeight="1">
      <c r="B2" s="123" t="inlineStr">
        <is>
          <t>Overall Estimation Create</t>
        </is>
      </c>
      <c r="C2" s="127" t="n">
        <v>0</v>
      </c>
      <c r="D2" s="137" t="n"/>
      <c r="E2" s="137" t="n"/>
      <c r="F2" s="137" t="n"/>
    </row>
    <row r="3" ht="16.9" customHeight="1">
      <c r="B3" s="123" t="inlineStr">
        <is>
          <t>Development</t>
        </is>
      </c>
      <c r="C3" s="128">
        <f>ALL_Detail!AE15</f>
        <v/>
      </c>
      <c r="D3" s="137" t="n"/>
      <c r="E3" s="137" t="n"/>
      <c r="F3" s="137" t="n"/>
    </row>
    <row r="4" ht="16.9" customHeight="1">
      <c r="B4" s="124" t="inlineStr">
        <is>
          <t>Testing + UAT Server Setup(Infra)</t>
        </is>
      </c>
      <c r="C4" s="127" t="n">
        <v>0</v>
      </c>
      <c r="D4" s="137" t="n"/>
      <c r="E4" s="137" t="n"/>
      <c r="F4" s="137" t="n"/>
    </row>
    <row r="5" ht="16.9" customHeight="1">
      <c r="B5" s="125" t="inlineStr">
        <is>
          <t>Production Server Setting(Infra)</t>
        </is>
      </c>
      <c r="C5" s="127" t="n">
        <v>0</v>
      </c>
      <c r="D5" s="137" t="n"/>
      <c r="E5" s="137" t="n"/>
      <c r="F5" s="137" t="n"/>
    </row>
    <row r="6" ht="16.9" customHeight="1">
      <c r="B6" s="126" t="inlineStr">
        <is>
          <t>Deployment</t>
        </is>
      </c>
      <c r="C6" s="127" t="n">
        <v>0</v>
      </c>
      <c r="D6" s="137" t="n"/>
      <c r="E6" s="137" t="n"/>
      <c r="F6" s="137" t="n"/>
    </row>
    <row r="7" ht="16.9" customHeight="1">
      <c r="B7" s="123" t="inlineStr">
        <is>
          <t>Training</t>
        </is>
      </c>
      <c r="C7" s="127" t="n">
        <v>0</v>
      </c>
      <c r="D7" s="137" t="n"/>
      <c r="E7" s="137" t="n"/>
      <c r="F7" s="138" t="n"/>
    </row>
    <row r="8" ht="16.9" customHeight="1">
      <c r="B8" s="126" t="inlineStr">
        <is>
          <t>Operations Support</t>
        </is>
      </c>
      <c r="C8" s="127" t="n">
        <v>0</v>
      </c>
      <c r="D8" s="137" t="n"/>
      <c r="E8" s="137" t="n"/>
      <c r="F8" s="137" t="n"/>
    </row>
    <row r="9" ht="16.9" customHeight="1">
      <c r="B9" s="123" t="inlineStr">
        <is>
          <t>Maintenance Activities</t>
        </is>
      </c>
      <c r="C9" s="127" t="n">
        <v>0</v>
      </c>
      <c r="D9" s="137" t="n"/>
      <c r="E9" s="137" t="n"/>
      <c r="F9" s="137" t="n"/>
    </row>
    <row r="10" ht="16.9" customHeight="1">
      <c r="B10" s="123" t="inlineStr">
        <is>
          <t>Finger Print Device Test</t>
        </is>
      </c>
      <c r="C10" s="127" t="n">
        <v>0</v>
      </c>
      <c r="D10" s="137" t="n"/>
      <c r="E10" s="137" t="n"/>
      <c r="F10" s="137" t="n"/>
    </row>
    <row r="11" ht="16.9" customHeight="1">
      <c r="B11" s="123" t="inlineStr">
        <is>
          <t>Card Reader Device Test</t>
        </is>
      </c>
      <c r="C11" s="127" t="n">
        <v>0</v>
      </c>
      <c r="D11" s="137" t="n"/>
      <c r="E11" s="138" t="n"/>
      <c r="F11" s="137" t="n"/>
    </row>
    <row r="12" ht="16.9" customHeight="1">
      <c r="B12" s="123" t="inlineStr">
        <is>
          <t>Barcode Reader Testing</t>
        </is>
      </c>
      <c r="C12" s="127" t="n">
        <v>0</v>
      </c>
      <c r="D12" s="137" t="n"/>
      <c r="E12" s="137" t="n"/>
      <c r="F12" s="137" t="n"/>
    </row>
    <row r="13" ht="16.9" customHeight="1">
      <c r="B13" s="47" t="n"/>
      <c r="C13" s="128" t="n"/>
      <c r="D13" s="137" t="n"/>
      <c r="E13" s="137" t="n"/>
      <c r="F13" s="137" t="n"/>
    </row>
    <row r="14" ht="15" customHeight="1" thickBot="1">
      <c r="B14" s="132" t="n"/>
      <c r="C14" s="73" t="n"/>
      <c r="D14" s="137" t="n"/>
      <c r="E14" s="137" t="n"/>
      <c r="F14" s="137" t="n"/>
    </row>
    <row r="15">
      <c r="B15" s="44" t="inlineStr">
        <is>
          <t>トータル(hr/1person)</t>
        </is>
      </c>
      <c r="C15" s="59">
        <f>SUM(C2:C14)</f>
        <v/>
      </c>
      <c r="D15" s="137" t="n"/>
      <c r="E15" s="55" t="n"/>
      <c r="F15" s="55" t="n"/>
    </row>
    <row r="16">
      <c r="B16" s="45" t="inlineStr">
        <is>
          <t>トータル(days/1person)</t>
        </is>
      </c>
      <c r="C16" s="60">
        <f>C15/8</f>
        <v/>
      </c>
      <c r="D16" s="137" t="n"/>
      <c r="E16" s="137" t="n"/>
      <c r="F16" s="137" t="n"/>
    </row>
    <row r="17" ht="15" customHeight="1" thickBot="1">
      <c r="B17" s="46" t="inlineStr">
        <is>
          <t>トータル(month/1person)</t>
        </is>
      </c>
      <c r="C17" s="143">
        <f>C16/20</f>
        <v/>
      </c>
      <c r="D17" s="137" t="n"/>
    </row>
    <row r="19">
      <c r="B19" s="137" t="n"/>
      <c r="C19" s="56" t="n"/>
      <c r="D19" s="138" t="n"/>
    </row>
    <row r="20">
      <c r="B20" s="40" t="n"/>
      <c r="D20" s="13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4"/>
  <sheetViews>
    <sheetView tabSelected="1" zoomScaleNormal="100" workbookViewId="0">
      <pane xSplit="6" ySplit="4" topLeftCell="G5" activePane="bottomRight" state="frozen"/>
      <selection pane="topRight" activeCell="L1" sqref="L1"/>
      <selection pane="bottomLeft" activeCell="A5" sqref="A5"/>
      <selection pane="bottomRight" activeCell="B5" sqref="B5"/>
    </sheetView>
  </sheetViews>
  <sheetFormatPr baseColWidth="8" defaultColWidth="8.7265625" defaultRowHeight="14.5"/>
  <cols>
    <col width="7.26953125" customWidth="1" style="137" min="1" max="1"/>
    <col width="30.453125" customWidth="1" style="137" min="2" max="2"/>
    <col width="45.453125" customWidth="1" style="137" min="3" max="3"/>
    <col width="9.1796875" customWidth="1" style="137" min="4" max="4"/>
    <col width="9.453125" customWidth="1" style="137" min="5" max="5"/>
    <col width="9.453125" bestFit="1" customWidth="1" style="137" min="6" max="6"/>
    <col width="11.26953125" customWidth="1" style="137" min="7" max="7"/>
    <col width="9.453125" bestFit="1" customWidth="1" style="137" min="8" max="8"/>
    <col width="8.26953125" customWidth="1" style="137" min="9" max="10"/>
    <col width="9.26953125" customWidth="1" style="137" min="11" max="11"/>
    <col width="8.26953125" customWidth="1" style="137" min="12" max="16"/>
    <col width="9.453125" bestFit="1" customWidth="1" style="137" min="17" max="17"/>
    <col width="11" bestFit="1" customWidth="1" style="137" min="18" max="19"/>
    <col width="10.26953125" customWidth="1" style="137" min="20" max="20"/>
    <col width="8.81640625" customWidth="1" style="137" min="21" max="21"/>
    <col width="9.453125" bestFit="1" customWidth="1" style="137" min="22" max="22"/>
    <col width="11.81640625" customWidth="1" style="137" min="23" max="23"/>
    <col width="9.453125" bestFit="1" customWidth="1" style="137" min="24" max="24"/>
    <col width="13.7265625" customWidth="1" style="137" min="25" max="25"/>
    <col width="12" customWidth="1" style="137" min="26" max="26"/>
    <col width="11" bestFit="1" customWidth="1" style="137" min="27" max="27"/>
    <col width="10.453125" bestFit="1" customWidth="1" style="137" min="28" max="28"/>
    <col width="11" bestFit="1" customWidth="1" style="137" min="29" max="30"/>
    <col width="10.1796875" customWidth="1" style="137" min="31" max="31"/>
    <col width="8.7265625" customWidth="1" style="137" min="32" max="16384"/>
  </cols>
  <sheetData>
    <row r="1" ht="26.5" customHeight="1">
      <c r="A1" s="137" t="n"/>
      <c r="C1" s="137" t="n"/>
      <c r="D1" s="137" t="n"/>
      <c r="E1" s="137" t="n"/>
      <c r="F1" s="27" t="inlineStr">
        <is>
          <t>開発の</t>
        </is>
      </c>
      <c r="G1" s="27" t="inlineStr">
        <is>
          <t>開発の</t>
        </is>
      </c>
      <c r="H1" s="27" t="inlineStr">
        <is>
          <t>要件定義の</t>
        </is>
      </c>
      <c r="I1" s="27" t="inlineStr">
        <is>
          <t>開発の</t>
        </is>
      </c>
      <c r="J1" s="27" t="inlineStr">
        <is>
          <t>業務フローの</t>
        </is>
      </c>
      <c r="K1" s="27" t="inlineStr">
        <is>
          <t>開発の</t>
        </is>
      </c>
      <c r="L1" s="27" t="inlineStr">
        <is>
          <t>ER図の</t>
        </is>
      </c>
      <c r="M1" s="27" t="inlineStr">
        <is>
          <t>開発の</t>
        </is>
      </c>
      <c r="N1" s="27" t="inlineStr">
        <is>
          <t>DFDの</t>
        </is>
      </c>
      <c r="O1" s="27" t="inlineStr">
        <is>
          <t>ER図(の</t>
        </is>
      </c>
      <c r="P1" s="27" t="inlineStr">
        <is>
          <t>DB設計の</t>
        </is>
      </c>
      <c r="Q1" s="27" t="inlineStr">
        <is>
          <t>開発の</t>
        </is>
      </c>
      <c r="R1" s="27" t="inlineStr">
        <is>
          <t>基本設計書の</t>
        </is>
      </c>
      <c r="S1" s="27" t="inlineStr">
        <is>
          <t>設計書の</t>
        </is>
      </c>
      <c r="T1" s="27" t="inlineStr">
        <is>
          <t>単体テスト仕様書の</t>
        </is>
      </c>
      <c r="U1" s="27" t="inlineStr">
        <is>
          <t>開発の</t>
        </is>
      </c>
      <c r="V1" s="27" t="inlineStr">
        <is>
          <t>設計書の</t>
        </is>
      </c>
      <c r="W1" s="27" t="inlineStr">
        <is>
          <t>結合テスト仕様書の</t>
        </is>
      </c>
      <c r="X1" s="27" t="inlineStr">
        <is>
          <t>開発の</t>
        </is>
      </c>
      <c r="Y1" s="27" t="inlineStr">
        <is>
          <t>開発の</t>
        </is>
      </c>
      <c r="Z1" s="27" t="inlineStr">
        <is>
          <t>開発の</t>
        </is>
      </c>
      <c r="AA1" s="27" t="inlineStr">
        <is>
          <t>開発の</t>
        </is>
      </c>
      <c r="AB1" s="27" t="inlineStr">
        <is>
          <t>開発の</t>
        </is>
      </c>
      <c r="AC1" s="27" t="inlineStr">
        <is>
          <t>開発～総合の</t>
        </is>
      </c>
      <c r="AD1" s="27" t="inlineStr">
        <is>
          <t>開発～総合の</t>
        </is>
      </c>
      <c r="AE1" s="137" t="n"/>
    </row>
    <row r="2" ht="15" customHeight="1">
      <c r="A2" s="137" t="n"/>
      <c r="C2" s="137" t="n"/>
      <c r="D2" s="137" t="n"/>
      <c r="E2" s="137" t="n"/>
      <c r="F2" s="29" t="n">
        <v>0.07000000000000001</v>
      </c>
      <c r="G2" s="29" t="n">
        <v>0.15</v>
      </c>
      <c r="H2" s="29" t="n">
        <v>0.05</v>
      </c>
      <c r="I2" s="29" t="n">
        <v>0.04</v>
      </c>
      <c r="J2" s="29" t="n">
        <v>0.2</v>
      </c>
      <c r="K2" s="29" t="n">
        <v>0.03</v>
      </c>
      <c r="L2" s="29" t="n">
        <v>0.02</v>
      </c>
      <c r="M2" s="29" t="n">
        <v>0</v>
      </c>
      <c r="N2" s="29" t="n">
        <v>0</v>
      </c>
      <c r="O2" s="29" t="n">
        <v>0.2</v>
      </c>
      <c r="P2" s="29" t="n">
        <v>0.2</v>
      </c>
      <c r="Q2" s="29" t="n">
        <v>0.4</v>
      </c>
      <c r="R2" s="29" t="n">
        <v>0.15</v>
      </c>
      <c r="S2" s="29" t="n">
        <v>0.7</v>
      </c>
      <c r="T2" s="29" t="n">
        <v>0.15</v>
      </c>
      <c r="U2" s="29" t="n">
        <v>0.4</v>
      </c>
      <c r="V2" s="29" t="n">
        <v>0.35</v>
      </c>
      <c r="W2" s="29" t="n">
        <v>0.25</v>
      </c>
      <c r="X2" s="29" t="n">
        <v>0.4</v>
      </c>
      <c r="Y2" s="29" t="n">
        <v>0.25</v>
      </c>
      <c r="Z2" s="29" t="n">
        <v>0</v>
      </c>
      <c r="AA2" s="29" t="n">
        <v>0.05</v>
      </c>
      <c r="AB2" s="29" t="n">
        <v>0.05</v>
      </c>
      <c r="AC2" s="29" t="n">
        <v>0.05</v>
      </c>
      <c r="AD2" s="29" t="n">
        <v>0.15</v>
      </c>
      <c r="AE2" s="137" t="n"/>
    </row>
    <row r="3" ht="45" customHeight="1">
      <c r="A3" s="137" t="n"/>
      <c r="C3" s="137" t="n"/>
      <c r="D3" s="137" t="n"/>
      <c r="E3" s="137" t="n"/>
      <c r="F3" s="24" t="n"/>
      <c r="G3" s="185" t="inlineStr">
        <is>
          <t>要件定義
Requirement definition</t>
        </is>
      </c>
      <c r="H3" s="88" t="n"/>
      <c r="I3" s="185" t="inlineStr">
        <is>
          <t>基本全体設計
Basic overall design</t>
        </is>
      </c>
      <c r="J3" s="232" t="n"/>
      <c r="K3" s="232" t="n"/>
      <c r="L3" s="232" t="n"/>
      <c r="M3" s="232" t="n"/>
      <c r="N3" s="232" t="n"/>
      <c r="O3" s="232" t="n"/>
      <c r="P3" s="88" t="n"/>
      <c r="Q3" s="185" t="inlineStr">
        <is>
          <t>基本設計
basic design</t>
        </is>
      </c>
      <c r="R3" s="88" t="n"/>
      <c r="S3" s="181" t="inlineStr">
        <is>
          <t xml:space="preserve">単体テスト
unit test
</t>
        </is>
      </c>
      <c r="T3" s="232" t="n"/>
      <c r="U3" s="88" t="n"/>
      <c r="V3" s="181" t="inlineStr">
        <is>
          <t xml:space="preserve">結合テスト
Combined test </t>
        </is>
      </c>
      <c r="W3" s="232" t="n"/>
      <c r="X3" s="88" t="n"/>
      <c r="Y3" s="26" t="inlineStr">
        <is>
          <t>総合テスト
Comprehensive test</t>
        </is>
      </c>
      <c r="Z3" s="30" t="n"/>
      <c r="AA3" s="31" t="n"/>
      <c r="AB3" s="180" t="n"/>
      <c r="AC3" s="233" t="n"/>
      <c r="AD3" s="233" t="n"/>
      <c r="AE3" s="137" t="n"/>
    </row>
    <row r="4" ht="72.5" customHeight="1">
      <c r="A4" s="23" t="inlineStr">
        <is>
          <t>ID</t>
        </is>
      </c>
      <c r="B4" s="23" t="inlineStr">
        <is>
          <t>Requirements</t>
        </is>
      </c>
      <c r="C4" s="23" t="inlineStr">
        <is>
          <t>Function</t>
        </is>
      </c>
      <c r="D4" s="23" t="inlineStr">
        <is>
          <t>Status</t>
        </is>
      </c>
      <c r="E4" s="52" t="inlineStr">
        <is>
          <t xml:space="preserve">
Development man-hours (h)
</t>
        </is>
      </c>
      <c r="F4" s="122" t="inlineStr">
        <is>
          <t xml:space="preserve">
Code review (h)</t>
        </is>
      </c>
      <c r="G4" s="22" t="inlineStr">
        <is>
          <t>Prototype(h)</t>
        </is>
      </c>
      <c r="H4" s="22" t="inlineStr">
        <is>
          <t>PrototypeReview(h)</t>
        </is>
      </c>
      <c r="I4" s="22" t="inlineStr">
        <is>
          <t xml:space="preserve">
Business flow(h)</t>
        </is>
      </c>
      <c r="J4" s="22" t="inlineStr">
        <is>
          <t xml:space="preserve">
Business flow Review
(h)</t>
        </is>
      </c>
      <c r="K4" s="22" t="inlineStr">
        <is>
          <t>ERD(h)</t>
        </is>
      </c>
      <c r="L4" s="22" t="inlineStr">
        <is>
          <t>ERD Review(h)</t>
        </is>
      </c>
      <c r="M4" s="22" t="inlineStr">
        <is>
          <t>DFD(h)</t>
        </is>
      </c>
      <c r="N4" s="22" t="inlineStr">
        <is>
          <t>DFD Review(h)</t>
        </is>
      </c>
      <c r="O4" s="22" t="inlineStr">
        <is>
          <t xml:space="preserve">
DB Design(h)</t>
        </is>
      </c>
      <c r="P4" s="22" t="inlineStr">
        <is>
          <t xml:space="preserve">
DB Design Review(h)</t>
        </is>
      </c>
      <c r="Q4" s="22" t="inlineStr">
        <is>
          <t>Screen/Form/Function (h)</t>
        </is>
      </c>
      <c r="R4" s="22" t="inlineStr">
        <is>
          <t>Review(h)</t>
        </is>
      </c>
      <c r="S4" s="21" t="inlineStr">
        <is>
          <t xml:space="preserve">
Test Specification(h)</t>
        </is>
      </c>
      <c r="T4" s="21" t="inlineStr">
        <is>
          <t>Review(h)</t>
        </is>
      </c>
      <c r="U4" s="21" t="inlineStr">
        <is>
          <t xml:space="preserve">
Implementation
(h)</t>
        </is>
      </c>
      <c r="V4" s="21" t="inlineStr">
        <is>
          <t>テスト仕様書(h)
Test Specification</t>
        </is>
      </c>
      <c r="W4" s="21" t="inlineStr">
        <is>
          <t>レビュー(h)</t>
        </is>
      </c>
      <c r="X4" s="21" t="inlineStr">
        <is>
          <t>実施(h)
Implementation</t>
        </is>
      </c>
      <c r="Y4" s="21" t="inlineStr">
        <is>
          <t>実施(h)
Implementation</t>
        </is>
      </c>
      <c r="Z4" s="21" t="inlineStr">
        <is>
          <t>テストデータ作成(h)
Test Data Creation</t>
        </is>
      </c>
      <c r="AA4" s="20" t="inlineStr">
        <is>
          <t>マニュアル作成(h)
User Manual</t>
        </is>
      </c>
      <c r="AB4" s="17" t="inlineStr">
        <is>
          <t>付帯作業(h)
Accidental Work</t>
        </is>
      </c>
      <c r="AC4" s="48" t="inlineStr">
        <is>
          <t>リスク(h)</t>
        </is>
      </c>
      <c r="AD4" s="18" t="inlineStr">
        <is>
          <t>管理工数(h)
Management Manhours</t>
        </is>
      </c>
      <c r="AE4" s="17" t="inlineStr">
        <is>
          <t>Total(h)</t>
        </is>
      </c>
    </row>
    <row r="5" ht="25.15" customFormat="1" customHeight="1" s="137">
      <c r="A5" s="131" t="n">
        <v>1</v>
      </c>
      <c r="B5" s="131" t="inlineStr">
        <is>
          <t>Sample User Management</t>
        </is>
      </c>
      <c r="C5" s="132" t="inlineStr">
        <is>
          <t>Login</t>
        </is>
      </c>
      <c r="D5" s="133" t="inlineStr">
        <is>
          <t>中</t>
        </is>
      </c>
      <c r="E5" s="116" t="n">
        <v>8</v>
      </c>
      <c r="F5" s="134">
        <f>E5*F2</f>
        <v/>
      </c>
      <c r="G5" s="135">
        <f>E5*G2</f>
        <v/>
      </c>
      <c r="H5" s="135">
        <f>G5*H2</f>
        <v/>
      </c>
      <c r="I5" s="135">
        <f>E5*I2</f>
        <v/>
      </c>
      <c r="J5" s="134">
        <f>I5*J2</f>
        <v/>
      </c>
      <c r="K5" s="134">
        <f>E5*K2</f>
        <v/>
      </c>
      <c r="L5" s="134">
        <f>K5*L2</f>
        <v/>
      </c>
      <c r="M5" s="134">
        <f>E5*M2</f>
        <v/>
      </c>
      <c r="N5" s="134">
        <f>M5*N2</f>
        <v/>
      </c>
      <c r="O5" s="135">
        <f>K5*O2</f>
        <v/>
      </c>
      <c r="P5" s="134">
        <f>O5*P2</f>
        <v/>
      </c>
      <c r="Q5" s="135">
        <f>E5*Q2</f>
        <v/>
      </c>
      <c r="R5" s="135">
        <f>Q5*R2</f>
        <v/>
      </c>
      <c r="S5" s="135">
        <f>Q5*S2</f>
        <v/>
      </c>
      <c r="T5" s="135">
        <f>S5*T2</f>
        <v/>
      </c>
      <c r="U5" s="135">
        <f>E5*U2</f>
        <v/>
      </c>
      <c r="V5" s="135">
        <f>Q5*V2</f>
        <v/>
      </c>
      <c r="W5" s="135">
        <f>V5*W2</f>
        <v/>
      </c>
      <c r="X5" s="135">
        <f>E5*X2</f>
        <v/>
      </c>
      <c r="Y5" s="135">
        <f>E5*Y2</f>
        <v/>
      </c>
      <c r="Z5" s="135">
        <f>E5*Z2</f>
        <v/>
      </c>
      <c r="AA5" s="135">
        <f>E5*AA2</f>
        <v/>
      </c>
      <c r="AB5" s="135">
        <f>E5*AB2</f>
        <v/>
      </c>
      <c r="AC5" s="135">
        <f>(E5+I5+K5+M5+O5+Q5+S5+V5+X5+G5+Y5+AB47)*AC2</f>
        <v/>
      </c>
      <c r="AD5" s="135">
        <f>SUM(E5:AA5)*AD2</f>
        <v/>
      </c>
      <c r="AE5" s="135">
        <f>SUM(E5:AD5)</f>
        <v/>
      </c>
    </row>
    <row r="6" ht="25.15" customHeight="1">
      <c r="A6" s="131" t="n">
        <v>2</v>
      </c>
      <c r="B6" s="131" t="inlineStr">
        <is>
          <t>Sample User Management</t>
        </is>
      </c>
      <c r="C6" s="132" t="inlineStr">
        <is>
          <t>Registration</t>
        </is>
      </c>
      <c r="D6" s="133" t="inlineStr">
        <is>
          <t>中</t>
        </is>
      </c>
      <c r="E6" s="116" t="n">
        <v>16</v>
      </c>
      <c r="F6" s="134">
        <f>E6*F$2</f>
        <v/>
      </c>
      <c r="G6" s="135">
        <f>E6*G$2</f>
        <v/>
      </c>
      <c r="H6" s="135">
        <f>G6*H$2</f>
        <v/>
      </c>
      <c r="I6" s="135">
        <f>E6*I$2</f>
        <v/>
      </c>
      <c r="J6" s="134">
        <f>I6*J$2</f>
        <v/>
      </c>
      <c r="K6" s="134">
        <f>E6*K$2</f>
        <v/>
      </c>
      <c r="L6" s="134">
        <f>K6*L$2</f>
        <v/>
      </c>
      <c r="M6" s="134">
        <f>E6*M$2</f>
        <v/>
      </c>
      <c r="N6" s="134">
        <f>M6*N$2</f>
        <v/>
      </c>
      <c r="O6" s="135">
        <f>K6*O$2</f>
        <v/>
      </c>
      <c r="P6" s="134">
        <f>O6*P$2</f>
        <v/>
      </c>
      <c r="Q6" s="135">
        <f>E6*Q$2</f>
        <v/>
      </c>
      <c r="R6" s="135">
        <f>Q6*R$2</f>
        <v/>
      </c>
      <c r="S6" s="135">
        <f>Q6*S$2</f>
        <v/>
      </c>
      <c r="T6" s="135">
        <f>S6*T$2</f>
        <v/>
      </c>
      <c r="U6" s="135">
        <f>E6*U$2</f>
        <v/>
      </c>
      <c r="V6" s="135">
        <f>Q6*V$2</f>
        <v/>
      </c>
      <c r="W6" s="135">
        <f>V6*W$2</f>
        <v/>
      </c>
      <c r="X6" s="135">
        <f>E6*X$2</f>
        <v/>
      </c>
      <c r="Y6" s="135">
        <f>E6*Y$2</f>
        <v/>
      </c>
      <c r="Z6" s="135">
        <f>E6*Z$2</f>
        <v/>
      </c>
      <c r="AA6" s="135">
        <f>E6*AA$2</f>
        <v/>
      </c>
      <c r="AB6" s="135">
        <f>E6*AB$2</f>
        <v/>
      </c>
      <c r="AC6" s="135">
        <f>(E6+I6+K6+M6+O6+Q6+S6+V6+X6+G6+Y6+AB6)*AC$2</f>
        <v/>
      </c>
      <c r="AD6" s="135">
        <f>SUM(E6:AA6)*AD$2</f>
        <v/>
      </c>
      <c r="AE6" s="135">
        <f>SUM(E6:AD6)</f>
        <v/>
      </c>
    </row>
    <row r="7" ht="25.15" customHeight="1">
      <c r="A7" s="131" t="n">
        <v>3</v>
      </c>
      <c r="B7" s="131" t="inlineStr">
        <is>
          <t>Sample User Management</t>
        </is>
      </c>
      <c r="C7" s="117" t="inlineStr">
        <is>
          <t>Profile Management</t>
        </is>
      </c>
      <c r="D7" s="133" t="inlineStr">
        <is>
          <t>中</t>
        </is>
      </c>
      <c r="E7" s="116" t="n">
        <v>24</v>
      </c>
      <c r="F7" s="134">
        <f>E7*F$2</f>
        <v/>
      </c>
      <c r="G7" s="135">
        <f>E7*G$2</f>
        <v/>
      </c>
      <c r="H7" s="135">
        <f>G7*H$2</f>
        <v/>
      </c>
      <c r="I7" s="135">
        <f>E7*I$2</f>
        <v/>
      </c>
      <c r="J7" s="134">
        <f>I7*J$2</f>
        <v/>
      </c>
      <c r="K7" s="134">
        <f>E7*K$2</f>
        <v/>
      </c>
      <c r="L7" s="134">
        <f>K7*L$2</f>
        <v/>
      </c>
      <c r="M7" s="134">
        <f>E7*M$2</f>
        <v/>
      </c>
      <c r="N7" s="134">
        <f>M7*N$2</f>
        <v/>
      </c>
      <c r="O7" s="135">
        <f>K7*O$2</f>
        <v/>
      </c>
      <c r="P7" s="134">
        <f>O7*P$2</f>
        <v/>
      </c>
      <c r="Q7" s="135">
        <f>E7*Q$2</f>
        <v/>
      </c>
      <c r="R7" s="135">
        <f>Q7*R$2</f>
        <v/>
      </c>
      <c r="S7" s="135">
        <f>Q7*S$2</f>
        <v/>
      </c>
      <c r="T7" s="135">
        <f>S7*T$2</f>
        <v/>
      </c>
      <c r="U7" s="135">
        <f>E7*U$2</f>
        <v/>
      </c>
      <c r="V7" s="135">
        <f>Q7*V$2</f>
        <v/>
      </c>
      <c r="W7" s="135">
        <f>V7*W$2</f>
        <v/>
      </c>
      <c r="X7" s="135">
        <f>E7*X$2</f>
        <v/>
      </c>
      <c r="Y7" s="135">
        <f>E7*Y$2</f>
        <v/>
      </c>
      <c r="Z7" s="135">
        <f>E7*Z$2</f>
        <v/>
      </c>
      <c r="AA7" s="135">
        <f>E7*AA$2</f>
        <v/>
      </c>
      <c r="AB7" s="135">
        <f>E7*AB$2</f>
        <v/>
      </c>
      <c r="AC7" s="135">
        <f>(E7+I7+K7+M7+O7+Q7+S7+V7+X7+G7+Y7+AB7)*AC$2</f>
        <v/>
      </c>
      <c r="AD7" s="135">
        <f>SUM(E7:AA7)*AD$2</f>
        <v/>
      </c>
      <c r="AE7" s="135">
        <f>SUM(E7:AD7)</f>
        <v/>
      </c>
    </row>
    <row r="8" ht="25.15" customFormat="1" customHeight="1" s="137">
      <c r="A8" s="131" t="n">
        <v>4</v>
      </c>
      <c r="B8" s="131" t="inlineStr">
        <is>
          <t>Sample User Management</t>
        </is>
      </c>
      <c r="C8" s="132" t="inlineStr">
        <is>
          <t>Role &amp; Permission Setup</t>
        </is>
      </c>
      <c r="D8" s="133" t="inlineStr">
        <is>
          <t>中</t>
        </is>
      </c>
      <c r="E8" s="116" t="n">
        <v>12</v>
      </c>
      <c r="F8" s="134">
        <f>E8*F$2</f>
        <v/>
      </c>
      <c r="G8" s="135">
        <f>E8*G$2</f>
        <v/>
      </c>
      <c r="H8" s="135">
        <f>G8*H$2</f>
        <v/>
      </c>
      <c r="I8" s="135">
        <f>E8*I$2</f>
        <v/>
      </c>
      <c r="J8" s="134">
        <f>I8*J$2</f>
        <v/>
      </c>
      <c r="K8" s="134">
        <f>E8*K$2</f>
        <v/>
      </c>
      <c r="L8" s="134">
        <f>K8*L$2</f>
        <v/>
      </c>
      <c r="M8" s="134">
        <f>E8*M$2</f>
        <v/>
      </c>
      <c r="N8" s="134">
        <f>M8*N$2</f>
        <v/>
      </c>
      <c r="O8" s="135">
        <f>K8*O$2</f>
        <v/>
      </c>
      <c r="P8" s="134">
        <f>O8*P$2</f>
        <v/>
      </c>
      <c r="Q8" s="135">
        <f>E8*Q$2</f>
        <v/>
      </c>
      <c r="R8" s="135">
        <f>Q8*R$2</f>
        <v/>
      </c>
      <c r="S8" s="135">
        <f>Q8*S$2</f>
        <v/>
      </c>
      <c r="T8" s="135">
        <f>S8*T$2</f>
        <v/>
      </c>
      <c r="U8" s="135">
        <f>E8*U$2</f>
        <v/>
      </c>
      <c r="V8" s="135">
        <f>Q8*V$2</f>
        <v/>
      </c>
      <c r="W8" s="135">
        <f>V8*W$2</f>
        <v/>
      </c>
      <c r="X8" s="135">
        <f>E8*X$2</f>
        <v/>
      </c>
      <c r="Y8" s="135">
        <f>E8*Y$2</f>
        <v/>
      </c>
      <c r="Z8" s="135">
        <f>E8*Z$2</f>
        <v/>
      </c>
      <c r="AA8" s="135">
        <f>E8*AA$2</f>
        <v/>
      </c>
      <c r="AB8" s="135">
        <f>E8*AB$2</f>
        <v/>
      </c>
      <c r="AC8" s="135">
        <f>(E8+I8+K8+M8+O8+Q8+S8+V8+X8+G8+Y8+AB8)*AC$2</f>
        <v/>
      </c>
      <c r="AD8" s="135">
        <f>SUM(E8:AA8)*AD$2</f>
        <v/>
      </c>
      <c r="AE8" s="135">
        <f>SUM(E8:AD8)</f>
        <v/>
      </c>
    </row>
    <row r="9" ht="25.15" customFormat="1" customHeight="1" s="137">
      <c r="A9" s="131" t="n">
        <v>5</v>
      </c>
      <c r="B9" s="131" t="inlineStr">
        <is>
          <t>Sample User Management</t>
        </is>
      </c>
      <c r="C9" s="132" t="inlineStr">
        <is>
          <t>Department Master</t>
        </is>
      </c>
      <c r="D9" s="133" t="inlineStr">
        <is>
          <t>中</t>
        </is>
      </c>
      <c r="E9" s="116" t="n">
        <v>20</v>
      </c>
      <c r="F9" s="134">
        <f>E9*F$2</f>
        <v/>
      </c>
      <c r="G9" s="135">
        <f>E9*G$2</f>
        <v/>
      </c>
      <c r="H9" s="135">
        <f>G9*H$2</f>
        <v/>
      </c>
      <c r="I9" s="135">
        <f>E9*I$2</f>
        <v/>
      </c>
      <c r="J9" s="134">
        <f>I9*J$2</f>
        <v/>
      </c>
      <c r="K9" s="134">
        <f>E9*K$2</f>
        <v/>
      </c>
      <c r="L9" s="134">
        <f>K9*L$2</f>
        <v/>
      </c>
      <c r="M9" s="134">
        <f>E9*M$2</f>
        <v/>
      </c>
      <c r="N9" s="134">
        <f>M9*N$2</f>
        <v/>
      </c>
      <c r="O9" s="135">
        <f>K9*O$2</f>
        <v/>
      </c>
      <c r="P9" s="134">
        <f>O9*P$2</f>
        <v/>
      </c>
      <c r="Q9" s="135">
        <f>E9*Q$2</f>
        <v/>
      </c>
      <c r="R9" s="135">
        <f>Q9*R$2</f>
        <v/>
      </c>
      <c r="S9" s="135">
        <f>Q9*S$2</f>
        <v/>
      </c>
      <c r="T9" s="135">
        <f>S9*T$2</f>
        <v/>
      </c>
      <c r="U9" s="135">
        <f>E9*U$2</f>
        <v/>
      </c>
      <c r="V9" s="135">
        <f>Q9*V$2</f>
        <v/>
      </c>
      <c r="W9" s="135">
        <f>V9*W$2</f>
        <v/>
      </c>
      <c r="X9" s="135">
        <f>E9*X$2</f>
        <v/>
      </c>
      <c r="Y9" s="135">
        <f>E9*Y$2</f>
        <v/>
      </c>
      <c r="Z9" s="135">
        <f>E9*Z$2</f>
        <v/>
      </c>
      <c r="AA9" s="135">
        <f>E9*AA$2</f>
        <v/>
      </c>
      <c r="AB9" s="135">
        <f>E9*AB$2</f>
        <v/>
      </c>
      <c r="AC9" s="135">
        <f>(E9+I9+K9+M9+O9+Q9+S9+V9+X9+G9+Y9+AB9)*AC$2</f>
        <v/>
      </c>
      <c r="AD9" s="135">
        <f>SUM(E9:AA9)*AD$2</f>
        <v/>
      </c>
      <c r="AE9" s="135">
        <f>SUM(E9:AD9)</f>
        <v/>
      </c>
    </row>
    <row r="10" ht="25.15" customHeight="1">
      <c r="A10" s="131" t="n">
        <v>6</v>
      </c>
      <c r="B10" s="131" t="inlineStr">
        <is>
          <t>Sample Reporting</t>
        </is>
      </c>
      <c r="C10" s="132" t="inlineStr">
        <is>
          <t>Item Master</t>
        </is>
      </c>
      <c r="D10" s="133" t="inlineStr">
        <is>
          <t>中</t>
        </is>
      </c>
      <c r="E10" s="116" t="n">
        <v>10</v>
      </c>
      <c r="F10" s="134">
        <f>E10*F$2</f>
        <v/>
      </c>
      <c r="G10" s="135">
        <f>E10*G$2</f>
        <v/>
      </c>
      <c r="H10" s="135">
        <f>G10*H$2</f>
        <v/>
      </c>
      <c r="I10" s="135">
        <f>E10*I$2</f>
        <v/>
      </c>
      <c r="J10" s="134">
        <f>I10*J$2</f>
        <v/>
      </c>
      <c r="K10" s="134">
        <f>E10*K$2</f>
        <v/>
      </c>
      <c r="L10" s="134">
        <f>K10*L$2</f>
        <v/>
      </c>
      <c r="M10" s="134">
        <f>E10*M$2</f>
        <v/>
      </c>
      <c r="N10" s="134">
        <f>M10*N$2</f>
        <v/>
      </c>
      <c r="O10" s="135">
        <f>K10*O$2</f>
        <v/>
      </c>
      <c r="P10" s="134">
        <f>O10*P$2</f>
        <v/>
      </c>
      <c r="Q10" s="135">
        <f>E10*Q$2</f>
        <v/>
      </c>
      <c r="R10" s="135">
        <f>Q10*R$2</f>
        <v/>
      </c>
      <c r="S10" s="135">
        <f>Q10*S$2</f>
        <v/>
      </c>
      <c r="T10" s="135">
        <f>S10*T$2</f>
        <v/>
      </c>
      <c r="U10" s="135">
        <f>E10*U$2</f>
        <v/>
      </c>
      <c r="V10" s="135">
        <f>Q10*V$2</f>
        <v/>
      </c>
      <c r="W10" s="135">
        <f>V10*W$2</f>
        <v/>
      </c>
      <c r="X10" s="135">
        <f>E10*X$2</f>
        <v/>
      </c>
      <c r="Y10" s="135">
        <f>E10*Y$2</f>
        <v/>
      </c>
      <c r="Z10" s="135">
        <f>E10*Z$2</f>
        <v/>
      </c>
      <c r="AA10" s="135">
        <f>E10*AA$2</f>
        <v/>
      </c>
      <c r="AB10" s="135">
        <f>E10*AB$2</f>
        <v/>
      </c>
      <c r="AC10" s="135">
        <f>(E10+I10+K10+M10+O10+Q10+S10+V10+X10+G10+Y10+AB10)*AC$2</f>
        <v/>
      </c>
      <c r="AD10" s="135">
        <f>SUM(E10:AA10)*AD$2</f>
        <v/>
      </c>
      <c r="AE10" s="135">
        <f>SUM(E10:AD10)</f>
        <v/>
      </c>
    </row>
    <row r="11" ht="25.15" customHeight="1">
      <c r="A11" s="131" t="n">
        <v>7</v>
      </c>
      <c r="B11" s="131" t="inlineStr">
        <is>
          <t>Sample Reporting</t>
        </is>
      </c>
      <c r="C11" s="132" t="inlineStr">
        <is>
          <t>Data Import</t>
        </is>
      </c>
      <c r="D11" s="133" t="inlineStr">
        <is>
          <t>中</t>
        </is>
      </c>
      <c r="E11" s="116" t="n">
        <v>18</v>
      </c>
      <c r="F11" s="134">
        <f>E11*F$2</f>
        <v/>
      </c>
      <c r="G11" s="135">
        <f>E11*G$2</f>
        <v/>
      </c>
      <c r="H11" s="135">
        <f>G11*H$2</f>
        <v/>
      </c>
      <c r="I11" s="135">
        <f>E11*I$2</f>
        <v/>
      </c>
      <c r="J11" s="134">
        <f>I11*J$2</f>
        <v/>
      </c>
      <c r="K11" s="134">
        <f>E11*K$2</f>
        <v/>
      </c>
      <c r="L11" s="134">
        <f>K11*L$2</f>
        <v/>
      </c>
      <c r="M11" s="134">
        <f>E11*M$2</f>
        <v/>
      </c>
      <c r="N11" s="134">
        <f>M11*N$2</f>
        <v/>
      </c>
      <c r="O11" s="135">
        <f>K11*O$2</f>
        <v/>
      </c>
      <c r="P11" s="134">
        <f>O11*P$2</f>
        <v/>
      </c>
      <c r="Q11" s="135">
        <f>E11*Q$2</f>
        <v/>
      </c>
      <c r="R11" s="135">
        <f>Q11*R$2</f>
        <v/>
      </c>
      <c r="S11" s="135">
        <f>Q11*S$2</f>
        <v/>
      </c>
      <c r="T11" s="135">
        <f>S11*T$2</f>
        <v/>
      </c>
      <c r="U11" s="135">
        <f>E11*U$2</f>
        <v/>
      </c>
      <c r="V11" s="135">
        <f>Q11*V$2</f>
        <v/>
      </c>
      <c r="W11" s="135">
        <f>V11*W$2</f>
        <v/>
      </c>
      <c r="X11" s="135">
        <f>E11*X$2</f>
        <v/>
      </c>
      <c r="Y11" s="135">
        <f>E11*Y$2</f>
        <v/>
      </c>
      <c r="Z11" s="135">
        <f>E11*Z$2</f>
        <v/>
      </c>
      <c r="AA11" s="135">
        <f>E11*AA$2</f>
        <v/>
      </c>
      <c r="AB11" s="135">
        <f>E11*AB$2</f>
        <v/>
      </c>
      <c r="AC11" s="135">
        <f>(E11+I11+K11+M11+O11+Q11+S11+V11+X11+G11+Y11+AB11)*AC$2</f>
        <v/>
      </c>
      <c r="AD11" s="135">
        <f>SUM(E11:AA11)*AD$2</f>
        <v/>
      </c>
      <c r="AE11" s="135">
        <f>SUM(E11:AD11)</f>
        <v/>
      </c>
    </row>
    <row r="12" ht="25.15" customHeight="1">
      <c r="A12" s="139" t="n">
        <v>8</v>
      </c>
      <c r="B12" s="139" t="inlineStr">
        <is>
          <t>Sample Reporting</t>
        </is>
      </c>
      <c r="C12" s="140" t="inlineStr">
        <is>
          <t>Data Export</t>
        </is>
      </c>
      <c r="D12" s="7" t="inlineStr">
        <is>
          <t>中</t>
        </is>
      </c>
      <c r="E12" s="116" t="n">
        <v>14</v>
      </c>
      <c r="F12" s="141">
        <f>E12*F$2</f>
        <v/>
      </c>
      <c r="G12" s="142">
        <f>E12*G$2</f>
        <v/>
      </c>
      <c r="H12" s="142">
        <f>G12*H$2</f>
        <v/>
      </c>
      <c r="I12" s="142">
        <f>E12*I$2</f>
        <v/>
      </c>
      <c r="J12" s="141">
        <f>I12*J$2</f>
        <v/>
      </c>
      <c r="K12" s="141">
        <f>E12*K$2</f>
        <v/>
      </c>
      <c r="L12" s="141">
        <f>K12*L$2</f>
        <v/>
      </c>
      <c r="M12" s="141">
        <f>E12*M$2</f>
        <v/>
      </c>
      <c r="N12" s="141">
        <f>M12*N$2</f>
        <v/>
      </c>
      <c r="O12" s="142">
        <f>K12*O$2</f>
        <v/>
      </c>
      <c r="P12" s="141">
        <f>O12*P$2</f>
        <v/>
      </c>
      <c r="Q12" s="142">
        <f>E12*Q$2</f>
        <v/>
      </c>
      <c r="R12" s="142">
        <f>Q12*R$2</f>
        <v/>
      </c>
      <c r="S12" s="142">
        <f>Q12*S$2</f>
        <v/>
      </c>
      <c r="T12" s="142">
        <f>S12*T$2</f>
        <v/>
      </c>
      <c r="U12" s="142">
        <f>E12*U$2</f>
        <v/>
      </c>
      <c r="V12" s="142">
        <f>Q12*V$2</f>
        <v/>
      </c>
      <c r="W12" s="142">
        <f>V12*W$2</f>
        <v/>
      </c>
      <c r="X12" s="142">
        <f>E12*X$2</f>
        <v/>
      </c>
      <c r="Y12" s="142">
        <f>E12*Y$2</f>
        <v/>
      </c>
      <c r="Z12" s="142">
        <f>E12*Z$2</f>
        <v/>
      </c>
      <c r="AA12" s="142">
        <f>E12*AA$2</f>
        <v/>
      </c>
      <c r="AB12" s="142">
        <f>E12*AB$2</f>
        <v/>
      </c>
      <c r="AC12" s="142">
        <f>(E12+I12+K12+M12+O12+Q12+S12+V12+X12+G12+Y12+AB12)*AC$2</f>
        <v/>
      </c>
      <c r="AD12" s="142">
        <f>SUM(E12:AA12)*AD$2</f>
        <v/>
      </c>
      <c r="AE12" s="142">
        <f>SUM(E12:AD12)</f>
        <v/>
      </c>
    </row>
    <row r="13" ht="25.15" customHeight="1">
      <c r="A13" s="131" t="n">
        <v>9</v>
      </c>
      <c r="B13" s="131" t="inlineStr">
        <is>
          <t>Sample Reporting</t>
        </is>
      </c>
      <c r="C13" s="132" t="inlineStr">
        <is>
          <t>Record Search</t>
        </is>
      </c>
      <c r="D13" s="133" t="inlineStr">
        <is>
          <t>中</t>
        </is>
      </c>
      <c r="E13" s="116" t="n">
        <v>16</v>
      </c>
      <c r="F13" s="134">
        <f>E13*F$2</f>
        <v/>
      </c>
      <c r="G13" s="135">
        <f>E13*G$2</f>
        <v/>
      </c>
      <c r="H13" s="135">
        <f>G13*H$2</f>
        <v/>
      </c>
      <c r="I13" s="135">
        <f>E13*I$2</f>
        <v/>
      </c>
      <c r="J13" s="134">
        <f>I13*J$2</f>
        <v/>
      </c>
      <c r="K13" s="134">
        <f>E13*K$2</f>
        <v/>
      </c>
      <c r="L13" s="134">
        <f>K13*L$2</f>
        <v/>
      </c>
      <c r="M13" s="134">
        <f>E13*M$2</f>
        <v/>
      </c>
      <c r="N13" s="134">
        <f>M13*N$2</f>
        <v/>
      </c>
      <c r="O13" s="135">
        <f>K13*O$2</f>
        <v/>
      </c>
      <c r="P13" s="134">
        <f>O13*P$2</f>
        <v/>
      </c>
      <c r="Q13" s="135">
        <f>E13*Q$2</f>
        <v/>
      </c>
      <c r="R13" s="135">
        <f>Q13*R$2</f>
        <v/>
      </c>
      <c r="S13" s="135">
        <f>Q13*S$2</f>
        <v/>
      </c>
      <c r="T13" s="135">
        <f>S13*T$2</f>
        <v/>
      </c>
      <c r="U13" s="135">
        <f>E13*U$2</f>
        <v/>
      </c>
      <c r="V13" s="135">
        <f>Q13*V$2</f>
        <v/>
      </c>
      <c r="W13" s="135">
        <f>V13*W$2</f>
        <v/>
      </c>
      <c r="X13" s="135">
        <f>E13*X$2</f>
        <v/>
      </c>
      <c r="Y13" s="135">
        <f>E13*Y$2</f>
        <v/>
      </c>
      <c r="Z13" s="135">
        <f>E13*Z$2</f>
        <v/>
      </c>
      <c r="AA13" s="135">
        <f>E13*AA$2</f>
        <v/>
      </c>
      <c r="AB13" s="135">
        <f>E13*AB$2</f>
        <v/>
      </c>
      <c r="AC13" s="135">
        <f>(E13+I13+K13+M13+O13+Q13+S13+V13+X13+G13+Y13+AB13)*AC$2</f>
        <v/>
      </c>
      <c r="AD13" s="135">
        <f>SUM(E13:AA13)*AD$2</f>
        <v/>
      </c>
      <c r="AE13" s="135">
        <f>SUM(E13:AD13)</f>
        <v/>
      </c>
    </row>
    <row r="14" ht="25.15" customHeight="1" thickBot="1">
      <c r="A14" s="131" t="n"/>
      <c r="B14" s="131" t="n"/>
      <c r="C14" s="9" t="n"/>
      <c r="D14" s="133" t="n"/>
      <c r="E14" s="42" t="n"/>
      <c r="F14" s="135" t="n"/>
      <c r="G14" s="135" t="n"/>
      <c r="H14" s="135" t="n"/>
      <c r="I14" s="135" t="n"/>
      <c r="J14" s="135" t="n"/>
      <c r="K14" s="135" t="n"/>
      <c r="L14" s="135" t="n"/>
      <c r="M14" s="135" t="n"/>
      <c r="N14" s="135" t="n"/>
      <c r="O14" s="135" t="n"/>
      <c r="P14" s="134" t="n"/>
      <c r="Q14" s="135" t="n"/>
      <c r="R14" s="135" t="n"/>
      <c r="S14" s="135" t="n"/>
      <c r="T14" s="135" t="n"/>
      <c r="U14" s="135" t="n"/>
      <c r="V14" s="135" t="n"/>
      <c r="W14" s="135" t="n"/>
      <c r="X14" s="135" t="n"/>
      <c r="Y14" s="135" t="n"/>
      <c r="Z14" s="135" t="n"/>
      <c r="AA14" s="135" t="n"/>
      <c r="AB14" s="135" t="n"/>
      <c r="AC14" s="135" t="n"/>
      <c r="AD14" s="135" t="n"/>
      <c r="AE14" s="135" t="n"/>
    </row>
    <row r="15">
      <c r="A15" s="175" t="n"/>
      <c r="B15" s="234" t="n"/>
      <c r="C15" s="234" t="n"/>
      <c r="D15" s="235" t="n"/>
      <c r="E15" s="5">
        <f>SUM(E5:E14)</f>
        <v/>
      </c>
      <c r="F15" s="53">
        <f>SUM(F5:F14)</f>
        <v/>
      </c>
      <c r="G15" s="5">
        <f>SUM(G5:G14)</f>
        <v/>
      </c>
      <c r="H15" s="53">
        <f>SUM(H5:H14)</f>
        <v/>
      </c>
      <c r="I15" s="54">
        <f>SUM(I5:I14)</f>
        <v/>
      </c>
      <c r="J15" s="53">
        <f>SUM(J5:J14)</f>
        <v/>
      </c>
      <c r="K15" s="54">
        <f>SUM(K5:K14)</f>
        <v/>
      </c>
      <c r="L15" s="53">
        <f>SUM(L5:L14)</f>
        <v/>
      </c>
      <c r="M15" s="54">
        <f>SUM(M5:M14)</f>
        <v/>
      </c>
      <c r="N15" s="53">
        <f>SUM(N5:N14)</f>
        <v/>
      </c>
      <c r="O15" s="54">
        <f>SUM(O5:O14)</f>
        <v/>
      </c>
      <c r="P15" s="53">
        <f>SUM(P5:P14)</f>
        <v/>
      </c>
      <c r="Q15" s="5">
        <f>SUM(Q5:Q14)</f>
        <v/>
      </c>
      <c r="R15" s="53">
        <f>SUM(R5:R14)</f>
        <v/>
      </c>
      <c r="S15" s="5">
        <f>SUM(S5:S14)</f>
        <v/>
      </c>
      <c r="T15" s="53">
        <f>SUM(T5:T14)</f>
        <v/>
      </c>
      <c r="U15" s="5">
        <f>SUM(U5:U14)</f>
        <v/>
      </c>
      <c r="V15" s="6">
        <f>SUM(V5:V14)</f>
        <v/>
      </c>
      <c r="W15" s="54">
        <f>SUM(W5:W14)</f>
        <v/>
      </c>
      <c r="X15" s="6">
        <f>SUM(X5:X14)</f>
        <v/>
      </c>
      <c r="Y15" s="5">
        <f>SUM(Y5:Y14)</f>
        <v/>
      </c>
      <c r="Z15" s="6">
        <f>SUM(Z5:Z14)</f>
        <v/>
      </c>
      <c r="AA15" s="5">
        <f>SUM(AA5:AA14)</f>
        <v/>
      </c>
      <c r="AB15" s="6">
        <f>SUM(AB5:AB14)</f>
        <v/>
      </c>
      <c r="AC15" s="6">
        <f>SUM(AC5:AC14)</f>
        <v/>
      </c>
      <c r="AD15" s="54">
        <f>SUM(AD5:AD14)</f>
        <v/>
      </c>
      <c r="AE15" s="6">
        <f>SUM(AE5:AE14)</f>
        <v/>
      </c>
    </row>
    <row r="16">
      <c r="A16" s="177" t="n"/>
      <c r="B16" s="232" t="n"/>
      <c r="C16" s="232" t="n"/>
      <c r="D16" s="236" t="n"/>
      <c r="E16" s="3">
        <f>E15/8</f>
        <v/>
      </c>
      <c r="F16" s="4">
        <f>F15/8</f>
        <v/>
      </c>
      <c r="G16" s="3">
        <f>G15/8</f>
        <v/>
      </c>
      <c r="H16" s="4">
        <f>H15/8</f>
        <v/>
      </c>
      <c r="I16" s="3">
        <f>I15/8</f>
        <v/>
      </c>
      <c r="J16" s="4">
        <f>J15/8</f>
        <v/>
      </c>
      <c r="K16" s="3">
        <f>K15/8</f>
        <v/>
      </c>
      <c r="L16" s="4">
        <f>L15/8</f>
        <v/>
      </c>
      <c r="M16" s="3">
        <f>M15/8</f>
        <v/>
      </c>
      <c r="N16" s="4">
        <f>N15/8</f>
        <v/>
      </c>
      <c r="O16" s="3">
        <f>O15/8</f>
        <v/>
      </c>
      <c r="P16" s="4">
        <f>P15/8</f>
        <v/>
      </c>
      <c r="Q16" s="3">
        <f>Q15/8</f>
        <v/>
      </c>
      <c r="R16" s="4">
        <f>R15/8</f>
        <v/>
      </c>
      <c r="S16" s="3">
        <f>S15/8</f>
        <v/>
      </c>
      <c r="T16" s="4">
        <f>T15/8</f>
        <v/>
      </c>
      <c r="U16" s="3">
        <f>U15/8</f>
        <v/>
      </c>
      <c r="V16" s="4">
        <f>V15/8</f>
        <v/>
      </c>
      <c r="W16" s="3">
        <f>W15/8</f>
        <v/>
      </c>
      <c r="X16" s="4">
        <f>X15/8</f>
        <v/>
      </c>
      <c r="Y16" s="3">
        <f>Y15/8</f>
        <v/>
      </c>
      <c r="Z16" s="3">
        <f>Z15/8</f>
        <v/>
      </c>
      <c r="AA16" s="3">
        <f>AA15/8</f>
        <v/>
      </c>
      <c r="AB16" s="4">
        <f>AB15/8</f>
        <v/>
      </c>
      <c r="AC16" s="4">
        <f>AC15/8</f>
        <v/>
      </c>
      <c r="AD16" s="3">
        <f>AD15/8</f>
        <v/>
      </c>
      <c r="AE16" s="2">
        <f>AE15/8</f>
        <v/>
      </c>
    </row>
    <row r="17" ht="15" customHeight="1" thickBot="1">
      <c r="A17" s="179" t="n"/>
      <c r="B17" s="237" t="n"/>
      <c r="C17" s="237" t="n"/>
      <c r="D17" s="238" t="n"/>
      <c r="E17" s="62">
        <f>E16/20</f>
        <v/>
      </c>
      <c r="F17" s="63">
        <f>F16/20</f>
        <v/>
      </c>
      <c r="G17" s="62">
        <f>G16/20</f>
        <v/>
      </c>
      <c r="H17" s="63">
        <f>H16/20</f>
        <v/>
      </c>
      <c r="I17" s="62">
        <f>I16/20</f>
        <v/>
      </c>
      <c r="J17" s="63">
        <f>J16/20</f>
        <v/>
      </c>
      <c r="K17" s="62">
        <f>K16/20</f>
        <v/>
      </c>
      <c r="L17" s="63">
        <f>L16/20</f>
        <v/>
      </c>
      <c r="M17" s="62">
        <f>M16/20</f>
        <v/>
      </c>
      <c r="N17" s="63">
        <f>N16/20</f>
        <v/>
      </c>
      <c r="O17" s="62">
        <f>O16/20</f>
        <v/>
      </c>
      <c r="P17" s="63">
        <f>P16/20</f>
        <v/>
      </c>
      <c r="Q17" s="62">
        <f>Q16/20</f>
        <v/>
      </c>
      <c r="R17" s="63">
        <f>R16/20</f>
        <v/>
      </c>
      <c r="S17" s="62">
        <f>S16/20</f>
        <v/>
      </c>
      <c r="T17" s="63">
        <f>T16/20</f>
        <v/>
      </c>
      <c r="U17" s="62">
        <f>U16/20</f>
        <v/>
      </c>
      <c r="V17" s="63">
        <f>V16/20</f>
        <v/>
      </c>
      <c r="W17" s="62">
        <f>W16/20</f>
        <v/>
      </c>
      <c r="X17" s="63">
        <f>X16/20</f>
        <v/>
      </c>
      <c r="Y17" s="62">
        <f>Y16/20</f>
        <v/>
      </c>
      <c r="Z17" s="62">
        <f>Z16/20</f>
        <v/>
      </c>
      <c r="AA17" s="62">
        <f>AA16/20</f>
        <v/>
      </c>
      <c r="AB17" s="63">
        <f>AB16/20</f>
        <v/>
      </c>
      <c r="AC17" s="63">
        <f>AC16/20</f>
        <v/>
      </c>
      <c r="AD17" s="62">
        <f>AD16/20</f>
        <v/>
      </c>
      <c r="AE17" s="64">
        <f>AE16/20</f>
        <v/>
      </c>
    </row>
    <row r="18">
      <c r="A18" s="239" t="inlineStr">
        <is>
          <t>Leader  1人+ Developer 2人 + UIUX 1人 (Hr)</t>
        </is>
      </c>
      <c r="B18" s="234" t="n"/>
      <c r="C18" s="234" t="n"/>
      <c r="D18" s="240" t="n"/>
      <c r="E18" s="66">
        <f>E15/D26</f>
        <v/>
      </c>
      <c r="F18" s="71">
        <f>F15/1</f>
        <v/>
      </c>
      <c r="G18" s="66">
        <f>G15/1</f>
        <v/>
      </c>
      <c r="H18" s="71">
        <f>H15/1</f>
        <v/>
      </c>
      <c r="I18" s="71">
        <f>I15/1</f>
        <v/>
      </c>
      <c r="J18" s="71">
        <f>J15/1</f>
        <v/>
      </c>
      <c r="K18" s="71">
        <f>K15/1</f>
        <v/>
      </c>
      <c r="L18" s="71">
        <f>L15/1</f>
        <v/>
      </c>
      <c r="M18" s="71">
        <f>M15/1</f>
        <v/>
      </c>
      <c r="N18" s="71">
        <f>N15/1</f>
        <v/>
      </c>
      <c r="O18" s="71">
        <f>O15/1</f>
        <v/>
      </c>
      <c r="P18" s="71">
        <f>P15/1</f>
        <v/>
      </c>
      <c r="Q18" s="66">
        <f>Q15/D26</f>
        <v/>
      </c>
      <c r="R18" s="71">
        <f>R15/1</f>
        <v/>
      </c>
      <c r="S18" s="66">
        <f>S15/D26</f>
        <v/>
      </c>
      <c r="T18" s="71">
        <f>T15/1</f>
        <v/>
      </c>
      <c r="U18" s="66">
        <f>U15/D26</f>
        <v/>
      </c>
      <c r="V18" s="66">
        <f>V15/D26</f>
        <v/>
      </c>
      <c r="W18" s="71">
        <f>W15/1</f>
        <v/>
      </c>
      <c r="X18" s="66">
        <f>X15/D26</f>
        <v/>
      </c>
      <c r="Y18" s="66">
        <f>Y15/D26</f>
        <v/>
      </c>
      <c r="Z18" s="66">
        <f>Z15/D26</f>
        <v/>
      </c>
      <c r="AA18" s="66">
        <f>AA15/D26</f>
        <v/>
      </c>
      <c r="AB18" s="66">
        <f>AB15/D26</f>
        <v/>
      </c>
      <c r="AC18" s="66">
        <f>AC15/D26</f>
        <v/>
      </c>
      <c r="AD18" s="71">
        <f>AD15/1</f>
        <v/>
      </c>
      <c r="AE18" s="67">
        <f>SUM(E18:AD18)</f>
        <v/>
      </c>
    </row>
    <row r="19">
      <c r="A19" s="241" t="inlineStr">
        <is>
          <t>Leader  1人+ Developer 2人 + UIUX 1人 (Days)</t>
        </is>
      </c>
      <c r="B19" s="232" t="n"/>
      <c r="C19" s="232" t="n"/>
      <c r="D19" s="88" t="n"/>
      <c r="E19" s="65">
        <f>E18/8</f>
        <v/>
      </c>
      <c r="F19" s="65">
        <f>F18/8</f>
        <v/>
      </c>
      <c r="G19" s="65">
        <f>G18/8</f>
        <v/>
      </c>
      <c r="H19" s="65">
        <f>H18/8</f>
        <v/>
      </c>
      <c r="I19" s="65">
        <f>I18/8</f>
        <v/>
      </c>
      <c r="J19" s="65">
        <f>J18/8</f>
        <v/>
      </c>
      <c r="K19" s="65">
        <f>K18/8</f>
        <v/>
      </c>
      <c r="L19" s="65">
        <f>L18/8</f>
        <v/>
      </c>
      <c r="M19" s="65">
        <f>M18/8</f>
        <v/>
      </c>
      <c r="N19" s="65">
        <f>N18/8</f>
        <v/>
      </c>
      <c r="O19" s="65">
        <f>O18/8</f>
        <v/>
      </c>
      <c r="P19" s="65">
        <f>P18/8</f>
        <v/>
      </c>
      <c r="Q19" s="65">
        <f>Q18/8</f>
        <v/>
      </c>
      <c r="R19" s="65">
        <f>R18/8</f>
        <v/>
      </c>
      <c r="S19" s="65">
        <f>S18/8</f>
        <v/>
      </c>
      <c r="T19" s="65">
        <f>T18/8</f>
        <v/>
      </c>
      <c r="U19" s="65">
        <f>U18/8</f>
        <v/>
      </c>
      <c r="V19" s="65">
        <f>V18/8</f>
        <v/>
      </c>
      <c r="W19" s="65">
        <f>W18/8</f>
        <v/>
      </c>
      <c r="X19" s="65">
        <f>X18/8</f>
        <v/>
      </c>
      <c r="Y19" s="65">
        <f>Y18/8</f>
        <v/>
      </c>
      <c r="Z19" s="65">
        <f>Z18/8</f>
        <v/>
      </c>
      <c r="AA19" s="65">
        <f>AA18/8</f>
        <v/>
      </c>
      <c r="AB19" s="65">
        <f>AB18/8</f>
        <v/>
      </c>
      <c r="AC19" s="65">
        <f>AC18/8</f>
        <v/>
      </c>
      <c r="AD19" s="65">
        <f>AD18/8</f>
        <v/>
      </c>
      <c r="AE19" s="68">
        <f>SUM(E19:AD19)</f>
        <v/>
      </c>
    </row>
    <row r="20" ht="15" customHeight="1" thickBot="1">
      <c r="A20" s="242" t="inlineStr">
        <is>
          <t>Leader  1人+ Developer 2人 + UIUX 1人 (Months)</t>
        </is>
      </c>
      <c r="B20" s="243" t="n"/>
      <c r="C20" s="243" t="n"/>
      <c r="D20" s="244" t="n"/>
      <c r="E20" s="69">
        <f>E19/20</f>
        <v/>
      </c>
      <c r="F20" s="69">
        <f>F19/20</f>
        <v/>
      </c>
      <c r="G20" s="69">
        <f>G19/20</f>
        <v/>
      </c>
      <c r="H20" s="69">
        <f>H19/20</f>
        <v/>
      </c>
      <c r="I20" s="69">
        <f>I19/20</f>
        <v/>
      </c>
      <c r="J20" s="69">
        <f>J19/20</f>
        <v/>
      </c>
      <c r="K20" s="69">
        <f>K19/20</f>
        <v/>
      </c>
      <c r="L20" s="69">
        <f>L19/20</f>
        <v/>
      </c>
      <c r="M20" s="69">
        <f>M19/20</f>
        <v/>
      </c>
      <c r="N20" s="69">
        <f>N19/20</f>
        <v/>
      </c>
      <c r="O20" s="69">
        <f>O19/20</f>
        <v/>
      </c>
      <c r="P20" s="69">
        <f>P19/20</f>
        <v/>
      </c>
      <c r="Q20" s="69">
        <f>Q19/20</f>
        <v/>
      </c>
      <c r="R20" s="69">
        <f>R19/20</f>
        <v/>
      </c>
      <c r="S20" s="69">
        <f>S19/20</f>
        <v/>
      </c>
      <c r="T20" s="69">
        <f>T19/20</f>
        <v/>
      </c>
      <c r="U20" s="69">
        <f>U19/20</f>
        <v/>
      </c>
      <c r="V20" s="69">
        <f>V19/20</f>
        <v/>
      </c>
      <c r="W20" s="69">
        <f>W19/20</f>
        <v/>
      </c>
      <c r="X20" s="69">
        <f>X19/20</f>
        <v/>
      </c>
      <c r="Y20" s="69">
        <f>Y19/20</f>
        <v/>
      </c>
      <c r="Z20" s="69">
        <f>Z19/20</f>
        <v/>
      </c>
      <c r="AA20" s="69">
        <f>AA19/20</f>
        <v/>
      </c>
      <c r="AB20" s="69">
        <f>AB19/20</f>
        <v/>
      </c>
      <c r="AC20" s="69">
        <f>AC19/20</f>
        <v/>
      </c>
      <c r="AD20" s="69">
        <f>AD19/20</f>
        <v/>
      </c>
      <c r="AE20" s="70">
        <f>SUM(E20:AD20)</f>
        <v/>
      </c>
    </row>
    <row r="22">
      <c r="A22" s="137" t="n"/>
      <c r="C22" s="137" t="n"/>
      <c r="D22" s="137" t="n"/>
      <c r="E22" s="137" t="n"/>
      <c r="F22" s="137" t="n"/>
      <c r="G22" s="137" t="n"/>
      <c r="H22" s="137" t="n"/>
      <c r="I22" s="137" t="n"/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  <c r="S22" s="137" t="n"/>
      <c r="T22" s="138" t="n"/>
      <c r="U22" s="137" t="n"/>
      <c r="V22" s="137" t="n"/>
      <c r="W22" s="137" t="n"/>
      <c r="X22" s="137" t="n"/>
      <c r="Y22" s="137" t="n"/>
      <c r="Z22" s="137" t="n"/>
      <c r="AA22" s="137" t="n"/>
      <c r="AB22" s="137" t="n"/>
      <c r="AC22" s="35" t="inlineStr">
        <is>
          <t>hrs</t>
        </is>
      </c>
      <c r="AD22" s="35" t="inlineStr">
        <is>
          <t>days</t>
        </is>
      </c>
      <c r="AE22" s="137" t="n"/>
    </row>
    <row r="23">
      <c r="A23" s="137" t="n"/>
      <c r="C23" s="137" t="n"/>
      <c r="D23" s="137" t="n"/>
      <c r="E23" s="137" t="n"/>
      <c r="F23" s="137" t="n"/>
      <c r="G23" s="137" t="n"/>
      <c r="H23" s="137" t="n"/>
      <c r="I23" s="137" t="n"/>
      <c r="J23" s="138" t="n"/>
      <c r="K23" s="137" t="n"/>
      <c r="L23" s="137" t="n"/>
      <c r="M23" s="137" t="n"/>
      <c r="N23" s="137" t="n"/>
      <c r="O23" s="137" t="n"/>
      <c r="P23" s="137" t="n"/>
      <c r="Q23" s="137" t="n"/>
      <c r="R23" s="137" t="n"/>
      <c r="S23" s="137" t="n"/>
      <c r="T23" s="138" t="n"/>
      <c r="U23" s="137" t="n"/>
      <c r="V23" s="137" t="n"/>
      <c r="W23" s="137" t="n"/>
      <c r="X23" s="137" t="n"/>
      <c r="Y23" s="137" t="n"/>
      <c r="Z23" s="137" t="n"/>
      <c r="AA23" s="137" t="n"/>
      <c r="AB23" s="137" t="inlineStr">
        <is>
          <t>Before</t>
        </is>
      </c>
      <c r="AC23" s="137" t="n">
        <v>1596.82</v>
      </c>
      <c r="AD23" s="138">
        <f>AC23/8</f>
        <v/>
      </c>
      <c r="AE23" s="137" t="n"/>
    </row>
    <row r="24">
      <c r="A24" s="137" t="n"/>
      <c r="C24" s="57" t="n"/>
      <c r="D24" s="49" t="inlineStr">
        <is>
          <t>Capacity</t>
        </is>
      </c>
      <c r="E24" s="49" t="inlineStr">
        <is>
          <t>Hr</t>
        </is>
      </c>
      <c r="F24" s="49" t="inlineStr">
        <is>
          <t>Day</t>
        </is>
      </c>
      <c r="G24" s="49" t="inlineStr">
        <is>
          <t>Month</t>
        </is>
      </c>
      <c r="H24" s="115" t="n"/>
      <c r="I24" s="137" t="n"/>
      <c r="J24" s="137" t="n"/>
      <c r="K24" s="137" t="n"/>
      <c r="L24" s="137" t="n"/>
      <c r="M24" s="138" t="n"/>
      <c r="N24" s="137" t="n"/>
      <c r="O24" s="137" t="n"/>
      <c r="P24" s="137" t="n"/>
      <c r="Q24" s="137" t="n"/>
      <c r="R24" s="137" t="n"/>
      <c r="S24" s="137" t="n"/>
      <c r="T24" s="138" t="n"/>
      <c r="U24" s="137" t="n"/>
      <c r="V24" s="137" t="n"/>
      <c r="W24" s="137" t="n"/>
      <c r="X24" s="137" t="n"/>
      <c r="Y24" s="137" t="n"/>
      <c r="Z24" s="137" t="n"/>
      <c r="AA24" s="137" t="n"/>
      <c r="AB24" s="137" t="inlineStr">
        <is>
          <t>After</t>
        </is>
      </c>
      <c r="AC24" s="138">
        <f>AE15</f>
        <v/>
      </c>
      <c r="AD24" s="138">
        <f>AC24/8</f>
        <v/>
      </c>
      <c r="AE24" s="137" t="n"/>
    </row>
    <row r="25">
      <c r="A25" s="137" t="n"/>
      <c r="C25" s="132" t="inlineStr">
        <is>
          <t>Leader</t>
        </is>
      </c>
      <c r="D25" s="132" t="n">
        <v>1</v>
      </c>
      <c r="E25" s="135">
        <f>F15+H15+I15+J15+K15+L15+M15+N15+O15+P15+R15+T15+W15+AD15+TotalManhour!C2</f>
        <v/>
      </c>
      <c r="F25" s="135">
        <f>E25/8</f>
        <v/>
      </c>
      <c r="G25" s="135">
        <f>F25/20</f>
        <v/>
      </c>
      <c r="H25" s="245" t="n"/>
      <c r="I25" s="137" t="n"/>
      <c r="J25" s="72" t="n"/>
      <c r="K25" s="114" t="n"/>
      <c r="L25" s="137" t="n"/>
      <c r="M25" s="138" t="n"/>
      <c r="N25" s="137" t="n"/>
      <c r="O25" s="137" t="n"/>
      <c r="P25" s="137" t="n"/>
      <c r="Q25" s="137" t="n"/>
      <c r="R25" s="137" t="n"/>
      <c r="S25" s="137" t="n"/>
      <c r="T25" s="137" t="n"/>
      <c r="U25" s="137" t="n"/>
      <c r="V25" s="137" t="n"/>
      <c r="W25" s="137" t="n"/>
      <c r="X25" s="137" t="n"/>
      <c r="Y25" s="137" t="n"/>
      <c r="Z25" s="137" t="n"/>
      <c r="AA25" s="137" t="n"/>
      <c r="AB25" s="137" t="inlineStr">
        <is>
          <t>diff</t>
        </is>
      </c>
      <c r="AC25" s="138">
        <f>AC24-AC23</f>
        <v/>
      </c>
      <c r="AD25" s="138">
        <f>AD24-AD23</f>
        <v/>
      </c>
      <c r="AE25" s="137" t="n"/>
    </row>
    <row r="26">
      <c r="A26" s="137" t="n"/>
      <c r="C26" s="132" t="inlineStr">
        <is>
          <t>Member</t>
        </is>
      </c>
      <c r="D26" s="132" t="n">
        <v>2</v>
      </c>
      <c r="E26" s="135">
        <f>E18+Q18+S18+U18+V18+X18+Y18+Z18+AA18+AB18+AC18+(SUM(TotalManhour!C6:C12)/2)</f>
        <v/>
      </c>
      <c r="F26" s="135">
        <f>E26/8</f>
        <v/>
      </c>
      <c r="G26" s="135">
        <f>F26/20</f>
        <v/>
      </c>
      <c r="H26" s="245" t="n"/>
      <c r="I26" s="137" t="n"/>
      <c r="J26" s="137" t="n"/>
      <c r="K26" s="114" t="n"/>
      <c r="L26" s="137" t="n"/>
      <c r="M26" s="137" t="n"/>
      <c r="N26" s="137" t="n"/>
      <c r="O26" s="137" t="n"/>
      <c r="P26" s="137" t="n"/>
      <c r="Q26" s="137" t="n"/>
      <c r="R26" s="137" t="n"/>
      <c r="S26" s="137" t="n"/>
      <c r="T26" s="137" t="n"/>
      <c r="U26" s="137" t="n"/>
      <c r="V26" s="137" t="n"/>
      <c r="W26" s="137" t="n"/>
      <c r="X26" s="137" t="n"/>
      <c r="Y26" s="137" t="n"/>
      <c r="Z26" s="137" t="n"/>
      <c r="AA26" s="137" t="n"/>
      <c r="AB26" s="137" t="n"/>
      <c r="AC26" s="137" t="n"/>
      <c r="AD26" s="137" t="n"/>
      <c r="AE26" s="137" t="n"/>
    </row>
    <row r="27">
      <c r="A27" s="137" t="n"/>
      <c r="C27" s="132" t="inlineStr">
        <is>
          <t>UI/UX</t>
        </is>
      </c>
      <c r="D27" s="132" t="n">
        <v>1</v>
      </c>
      <c r="E27" s="135">
        <f>G15</f>
        <v/>
      </c>
      <c r="F27" s="135">
        <f>E27/8</f>
        <v/>
      </c>
      <c r="G27" s="135">
        <f>F27/20</f>
        <v/>
      </c>
      <c r="H27" s="245" t="n"/>
      <c r="I27" s="137" t="n"/>
      <c r="J27" s="137" t="n"/>
      <c r="K27" s="114" t="n"/>
      <c r="L27" s="137" t="n"/>
      <c r="M27" s="138" t="n"/>
      <c r="N27" s="138" t="n"/>
      <c r="O27" s="137" t="n"/>
      <c r="P27" s="137" t="n"/>
      <c r="Q27" s="137" t="n"/>
      <c r="R27" s="137" t="n"/>
      <c r="S27" s="137" t="n"/>
      <c r="T27" s="137" t="n"/>
      <c r="U27" s="137" t="n"/>
      <c r="V27" s="137" t="n"/>
      <c r="W27" s="137" t="n"/>
      <c r="X27" s="137" t="n"/>
      <c r="Y27" s="137" t="n"/>
      <c r="Z27" s="246" t="n"/>
      <c r="AA27" s="137" t="n"/>
      <c r="AB27" s="137" t="n"/>
      <c r="AC27" s="137" t="n"/>
      <c r="AD27" s="137" t="n"/>
      <c r="AE27" s="137" t="n"/>
    </row>
    <row r="28" hidden="1">
      <c r="A28" s="137" t="n"/>
      <c r="C28" s="50" t="inlineStr">
        <is>
          <t>Total</t>
        </is>
      </c>
      <c r="D28" s="50" t="n"/>
      <c r="E28" s="61">
        <f>SUM(E25:E27)</f>
        <v/>
      </c>
      <c r="F28" s="61">
        <f>SUM(F25:F27)</f>
        <v/>
      </c>
      <c r="G28" s="61">
        <f>SUM(G25:G27)</f>
        <v/>
      </c>
      <c r="H28" s="247" t="n"/>
      <c r="I28" s="137" t="n"/>
      <c r="J28" s="137" t="n"/>
      <c r="K28" s="114" t="n"/>
      <c r="L28" s="137" t="n"/>
      <c r="M28" s="137" t="n"/>
      <c r="N28" s="137" t="n"/>
      <c r="O28" s="137" t="n"/>
      <c r="P28" s="137" t="n"/>
      <c r="Q28" s="137" t="n"/>
      <c r="R28" s="137" t="n"/>
      <c r="S28" s="137" t="n"/>
      <c r="T28" s="137" t="n"/>
      <c r="U28" s="137" t="n"/>
      <c r="V28" s="137" t="n"/>
      <c r="W28" s="137" t="n"/>
      <c r="X28" s="137" t="n"/>
      <c r="Y28" s="137" t="n"/>
      <c r="Z28" s="137" t="n"/>
      <c r="AA28" s="137" t="n"/>
      <c r="AB28" s="137" t="n"/>
      <c r="AC28" s="137" t="n"/>
      <c r="AD28" s="137" t="n"/>
      <c r="AE28" s="137" t="n"/>
    </row>
    <row r="29">
      <c r="A29" s="137" t="n"/>
      <c r="C29" s="137" t="n"/>
      <c r="D29" s="137" t="n"/>
      <c r="E29" s="137" t="n"/>
      <c r="F29" s="137" t="n"/>
      <c r="G29" s="247" t="n"/>
      <c r="H29" s="247" t="n"/>
      <c r="I29" s="137" t="n"/>
      <c r="J29" s="138" t="n"/>
      <c r="K29" s="114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37" t="n"/>
      <c r="U29" s="137" t="n"/>
      <c r="V29" s="137" t="n"/>
      <c r="W29" s="137" t="n"/>
      <c r="X29" s="137" t="n"/>
      <c r="Y29" s="137" t="n"/>
      <c r="Z29" s="137" t="n"/>
      <c r="AA29" s="137" t="n"/>
      <c r="AB29" s="137" t="n"/>
      <c r="AC29" s="137" t="n"/>
      <c r="AD29" s="137" t="n"/>
      <c r="AE29" s="137" t="n"/>
    </row>
    <row r="30">
      <c r="A30" s="137" t="n"/>
      <c r="C30" s="137" t="n"/>
      <c r="D30" s="137" t="n"/>
      <c r="E30" s="138" t="n"/>
      <c r="F30" s="137" t="n"/>
      <c r="G30" s="137" t="n"/>
      <c r="H30" s="137" t="n"/>
      <c r="I30" s="137" t="n"/>
      <c r="J30" s="137" t="n"/>
      <c r="K30" s="137" t="n"/>
      <c r="L30" s="137" t="n"/>
      <c r="M30" s="137" t="n"/>
      <c r="N30" s="137" t="n"/>
      <c r="O30" s="137" t="n"/>
      <c r="P30" s="137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</row>
    <row r="31">
      <c r="A31" s="137" t="n"/>
      <c r="C31" s="137" t="n"/>
      <c r="D31" s="137" t="n"/>
      <c r="E31" s="138" t="n"/>
      <c r="F31" s="138" t="n"/>
      <c r="G31" s="137" t="n"/>
      <c r="H31" s="137" t="n"/>
      <c r="I31" s="137" t="n"/>
      <c r="J31" s="150" t="n"/>
      <c r="K31" s="137" t="n"/>
      <c r="L31" s="137" t="n"/>
      <c r="M31" s="137" t="n"/>
      <c r="N31" s="137" t="n"/>
      <c r="O31" s="137" t="n"/>
      <c r="P31" s="137" t="n"/>
      <c r="Q31" s="137" t="n"/>
      <c r="R31" s="137" t="n"/>
      <c r="S31" s="137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</row>
    <row r="32">
      <c r="A32" s="137" t="n"/>
      <c r="C32" s="120" t="inlineStr">
        <is>
          <t>Required Skill</t>
        </is>
      </c>
      <c r="D32" s="121" t="n"/>
      <c r="E32" s="121" t="n"/>
      <c r="F32" s="121" t="n"/>
      <c r="G32" s="137" t="n"/>
      <c r="H32" s="137" t="n"/>
      <c r="I32" s="137" t="n"/>
      <c r="J32" s="137" t="n"/>
      <c r="K32" s="137" t="n"/>
      <c r="L32" s="137" t="n"/>
      <c r="M32" s="137" t="n"/>
      <c r="N32" s="137" t="n"/>
      <c r="O32" s="137" t="n"/>
      <c r="P32" s="137" t="n"/>
      <c r="Q32" s="137" t="n"/>
      <c r="R32" s="137" t="n"/>
      <c r="S32" s="137" t="n"/>
      <c r="T32" s="137" t="n"/>
      <c r="U32" s="137" t="n"/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</row>
    <row r="33">
      <c r="C33" s="121" t="inlineStr">
        <is>
          <t>One Senior Member</t>
        </is>
      </c>
      <c r="D33" s="121" t="inlineStr">
        <is>
          <t>skillfull in Laravel and React</t>
        </is>
      </c>
      <c r="E33" s="121" t="n"/>
      <c r="F33" s="121" t="n"/>
    </row>
    <row r="34">
      <c r="C34" s="121" t="inlineStr">
        <is>
          <t>Two Junior Members</t>
        </is>
      </c>
      <c r="D34" s="121" t="inlineStr">
        <is>
          <t>experience in Laravel and React</t>
        </is>
      </c>
      <c r="E34" s="121" t="n"/>
      <c r="F34" s="121" t="n"/>
    </row>
  </sheetData>
  <mergeCells count="12">
    <mergeCell ref="A17:D17"/>
    <mergeCell ref="A18:D18"/>
    <mergeCell ref="Q3:R3"/>
    <mergeCell ref="I3:P3"/>
    <mergeCell ref="A20:D20"/>
    <mergeCell ref="AB3:AD3"/>
    <mergeCell ref="A15:D15"/>
    <mergeCell ref="S3:U3"/>
    <mergeCell ref="V3:X3"/>
    <mergeCell ref="A19:D19"/>
    <mergeCell ref="A16:D16"/>
    <mergeCell ref="G3:H3"/>
  </mergeCells>
  <dataValidations count="1">
    <dataValidation sqref="D5:D14" showDropDown="0" showInputMessage="1" showErrorMessage="1" allowBlank="1" type="list">
      <formula1>"難しい,簡単,普通"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zoomScaleSheetLayoutView="100" workbookViewId="0">
      <selection activeCell="F18" sqref="F18"/>
    </sheetView>
  </sheetViews>
  <sheetFormatPr baseColWidth="8" defaultRowHeight="14.5"/>
  <cols>
    <col width="28.26953125" customWidth="1" min="2" max="2"/>
    <col width="18.26953125" bestFit="1" customWidth="1" min="3" max="3"/>
    <col width="37.54296875" customWidth="1" min="4" max="4"/>
    <col width="16.54296875" customWidth="1" min="5" max="5"/>
    <col width="16.453125" bestFit="1" customWidth="1" min="6" max="6"/>
    <col width="25" customWidth="1" min="7" max="7"/>
  </cols>
  <sheetData>
    <row r="1" ht="14.5" customHeight="1">
      <c r="A1" s="198" t="inlineStr">
        <is>
          <t>Man Hour for XXX System</t>
        </is>
      </c>
    </row>
    <row r="2" ht="14.5" customHeight="1">
      <c r="A2" s="233" t="n"/>
      <c r="B2" s="233" t="n"/>
      <c r="C2" s="233" t="n"/>
      <c r="D2" s="233" t="n"/>
      <c r="E2" s="233" t="n"/>
      <c r="F2" s="233" t="n"/>
      <c r="G2" s="233" t="n"/>
    </row>
    <row r="3" ht="15" customHeight="1" thickBot="1">
      <c r="A3" s="74" t="inlineStr">
        <is>
          <t>No</t>
        </is>
      </c>
      <c r="B3" s="74" t="inlineStr">
        <is>
          <t>Customer</t>
        </is>
      </c>
      <c r="C3" s="75" t="inlineStr">
        <is>
          <t>Server</t>
        </is>
      </c>
      <c r="D3" s="74" t="inlineStr">
        <is>
          <t>Operation</t>
        </is>
      </c>
      <c r="E3" s="74" t="inlineStr">
        <is>
          <t>Duration (hours)</t>
        </is>
      </c>
      <c r="F3" s="74" t="inlineStr">
        <is>
          <t>Working Day</t>
        </is>
      </c>
      <c r="G3" s="76" t="inlineStr">
        <is>
          <t>Host</t>
        </is>
      </c>
    </row>
    <row r="4">
      <c r="A4" s="200" t="n">
        <v>1</v>
      </c>
      <c r="B4" s="202" t="inlineStr">
        <is>
          <t>XXX</t>
        </is>
      </c>
      <c r="C4" s="77" t="inlineStr">
        <is>
          <t>On-Premise</t>
        </is>
      </c>
      <c r="D4" s="77" t="inlineStr">
        <is>
          <t>1. Host installation</t>
        </is>
      </c>
      <c r="E4" s="78" t="inlineStr">
        <is>
          <t>48 Hours</t>
        </is>
      </c>
      <c r="F4" s="79" t="inlineStr">
        <is>
          <t>6 Days</t>
        </is>
      </c>
      <c r="G4" s="80" t="inlineStr">
        <is>
          <t>On-Premise</t>
        </is>
      </c>
    </row>
    <row r="5">
      <c r="A5" s="248" t="n"/>
      <c r="B5" s="229" t="n"/>
      <c r="C5" s="81" t="n"/>
      <c r="D5" s="81" t="inlineStr">
        <is>
          <t>2. source code deployment</t>
        </is>
      </c>
      <c r="E5" s="82" t="n"/>
      <c r="F5" s="83" t="n"/>
      <c r="G5" s="84" t="n"/>
    </row>
    <row r="6">
      <c r="A6" s="248" t="n"/>
      <c r="B6" s="229" t="n"/>
      <c r="C6" s="81" t="n"/>
      <c r="D6" s="81" t="inlineStr">
        <is>
          <t>3. Testing and Documentation</t>
        </is>
      </c>
      <c r="E6" s="82" t="n"/>
      <c r="F6" s="81" t="n"/>
      <c r="G6" s="85" t="n"/>
    </row>
    <row r="7" ht="15" customHeight="1" thickBot="1">
      <c r="A7" s="102" t="n"/>
      <c r="B7" s="99" t="n"/>
      <c r="C7" s="86" t="n"/>
      <c r="D7" s="86" t="n"/>
      <c r="E7" s="86" t="n"/>
      <c r="F7" s="86" t="n"/>
      <c r="G7" s="87" t="n"/>
    </row>
    <row r="10">
      <c r="B10" t="inlineStr">
        <is>
          <t>1) Must provide one VM instance.</t>
        </is>
      </c>
    </row>
    <row r="11">
      <c r="B11" t="inlineStr">
        <is>
          <t>2) Must provide OS installation. (we can support required information, OS version and co-operation)</t>
        </is>
      </c>
    </row>
    <row r="12">
      <c r="B12" t="inlineStr">
        <is>
          <t>3) One local IP address is needed for system access.</t>
        </is>
      </c>
    </row>
    <row r="13">
      <c r="B13" t="inlineStr">
        <is>
          <t>4) Firewall port assignment and forwarding must be provide.</t>
        </is>
      </c>
    </row>
    <row r="14">
      <c r="B14" t="inlineStr">
        <is>
          <t>5) Must provide required server specification. (4 vCPU, 8 GB RAM, HDD 100 GB)</t>
        </is>
      </c>
    </row>
    <row r="15">
      <c r="B15" t="inlineStr">
        <is>
          <t>6) Must provide database and file backup rotation period.</t>
        </is>
      </c>
    </row>
    <row r="16">
      <c r="B16" t="inlineStr">
        <is>
          <t>7) Must provide our once a month maintenance process for system health check in remote way.</t>
        </is>
      </c>
    </row>
    <row r="17">
      <c r="B17" t="inlineStr">
        <is>
          <t>(if you want on-site support rather than remote way, it is needed to negotiate)</t>
        </is>
      </c>
    </row>
    <row r="18">
      <c r="B18" t="inlineStr">
        <is>
          <t>8) If database and file backups are store in local server, it can be data lost server HDD or server is damaged.</t>
        </is>
      </c>
    </row>
    <row r="19">
      <c r="B19" t="inlineStr">
        <is>
          <t>(if you want to store backup in other location, we have service for backup storage)</t>
        </is>
      </c>
    </row>
    <row r="20">
      <c r="B20" t="inlineStr">
        <is>
          <t xml:space="preserve">9) Credentials are needed to keep confidentially. </t>
        </is>
      </c>
    </row>
    <row r="21">
      <c r="B21" t="inlineStr">
        <is>
          <t>10) Since there is not public usage, server can only be access locally.</t>
        </is>
      </c>
    </row>
  </sheetData>
  <mergeCells count="3">
    <mergeCell ref="A4:A7"/>
    <mergeCell ref="B4:B7"/>
    <mergeCell ref="A1:G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S23" sqref="S23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W17"/>
  <sheetViews>
    <sheetView topLeftCell="A7" workbookViewId="0">
      <selection activeCell="N7" sqref="N7"/>
    </sheetView>
  </sheetViews>
  <sheetFormatPr baseColWidth="8" defaultColWidth="8.7265625" defaultRowHeight="14.5"/>
  <sheetData>
    <row r="1" ht="15" customHeight="1" thickBot="1"/>
    <row r="2" ht="21.65" customHeight="1">
      <c r="A2" s="249" t="n"/>
      <c r="B2" s="250" t="n"/>
      <c r="C2" s="251" t="n"/>
      <c r="D2" s="218" t="inlineStr">
        <is>
          <t>Dec</t>
        </is>
      </c>
      <c r="E2" s="234" t="n"/>
      <c r="F2" s="234" t="n"/>
      <c r="G2" s="240" t="n"/>
      <c r="H2" s="221" t="inlineStr">
        <is>
          <t>Jan</t>
        </is>
      </c>
      <c r="I2" s="234" t="n"/>
      <c r="J2" s="234" t="n"/>
      <c r="K2" s="240" t="n"/>
      <c r="L2" s="206" t="inlineStr">
        <is>
          <t>Feb</t>
        </is>
      </c>
      <c r="M2" s="234" t="n"/>
      <c r="N2" s="234" t="n"/>
      <c r="O2" s="240" t="n"/>
      <c r="P2" s="206" t="inlineStr">
        <is>
          <t>Mar</t>
        </is>
      </c>
      <c r="Q2" s="234" t="n"/>
      <c r="R2" s="234" t="n"/>
      <c r="S2" s="240" t="n"/>
      <c r="T2" s="206" t="inlineStr">
        <is>
          <t>April</t>
        </is>
      </c>
      <c r="U2" s="234" t="n"/>
      <c r="V2" s="234" t="n"/>
      <c r="W2" s="240" t="n"/>
    </row>
    <row r="3" ht="21.65" customHeight="1" thickBot="1">
      <c r="A3" s="252" t="n"/>
      <c r="B3" s="253" t="n"/>
      <c r="C3" s="254" t="n"/>
      <c r="D3" s="103" t="inlineStr">
        <is>
          <t>1W</t>
        </is>
      </c>
      <c r="E3" s="104" t="inlineStr">
        <is>
          <t>2W</t>
        </is>
      </c>
      <c r="F3" s="104" t="inlineStr">
        <is>
          <t>3W</t>
        </is>
      </c>
      <c r="G3" s="105" t="inlineStr">
        <is>
          <t>4W</t>
        </is>
      </c>
      <c r="H3" s="106" t="inlineStr">
        <is>
          <t>1W</t>
        </is>
      </c>
      <c r="I3" s="104" t="inlineStr">
        <is>
          <t>2W</t>
        </is>
      </c>
      <c r="J3" s="104" t="inlineStr">
        <is>
          <t>3W</t>
        </is>
      </c>
      <c r="K3" s="107" t="inlineStr">
        <is>
          <t>4W</t>
        </is>
      </c>
      <c r="L3" s="103" t="inlineStr">
        <is>
          <t>1W</t>
        </is>
      </c>
      <c r="M3" s="104" t="inlineStr">
        <is>
          <t>2W</t>
        </is>
      </c>
      <c r="N3" s="104" t="inlineStr">
        <is>
          <t>3W</t>
        </is>
      </c>
      <c r="O3" s="105" t="inlineStr">
        <is>
          <t>4W</t>
        </is>
      </c>
      <c r="P3" s="103" t="inlineStr">
        <is>
          <t>1W</t>
        </is>
      </c>
      <c r="Q3" s="104" t="inlineStr">
        <is>
          <t>2W</t>
        </is>
      </c>
      <c r="R3" s="104" t="inlineStr">
        <is>
          <t>3W</t>
        </is>
      </c>
      <c r="S3" s="105" t="inlineStr">
        <is>
          <t>4W</t>
        </is>
      </c>
      <c r="T3" s="103" t="inlineStr">
        <is>
          <t>1W</t>
        </is>
      </c>
      <c r="U3" s="104" t="inlineStr">
        <is>
          <t>2W</t>
        </is>
      </c>
      <c r="V3" s="104" t="inlineStr">
        <is>
          <t>3W</t>
        </is>
      </c>
      <c r="W3" s="105" t="inlineStr">
        <is>
          <t>4W</t>
        </is>
      </c>
    </row>
    <row r="4" ht="38.5" customHeight="1">
      <c r="A4" s="255" t="inlineStr">
        <is>
          <t>Requirement Definition</t>
        </is>
      </c>
      <c r="B4" s="234" t="n"/>
      <c r="C4" s="235" t="n"/>
      <c r="D4" s="112" t="n"/>
      <c r="E4" s="108" t="n"/>
      <c r="F4" s="108" t="n"/>
      <c r="G4" s="111" t="n"/>
      <c r="H4" s="109" t="n"/>
      <c r="I4" s="108" t="n"/>
      <c r="J4" s="108" t="n"/>
      <c r="K4" s="110" t="n"/>
      <c r="L4" s="112" t="n"/>
      <c r="M4" s="108" t="n"/>
      <c r="N4" s="108" t="n"/>
      <c r="O4" s="111" t="n"/>
      <c r="P4" s="112" t="n"/>
      <c r="Q4" s="108" t="n"/>
      <c r="R4" s="108" t="n"/>
      <c r="S4" s="111" t="n"/>
      <c r="T4" s="112" t="n"/>
      <c r="U4" s="108" t="n"/>
      <c r="V4" s="108" t="n"/>
      <c r="W4" s="111" t="n"/>
    </row>
    <row r="5" ht="38.65" customHeight="1">
      <c r="A5" s="228" t="inlineStr">
        <is>
          <t>System Flow Design + DB Design</t>
        </is>
      </c>
      <c r="B5" s="232" t="n"/>
      <c r="C5" s="88" t="n"/>
      <c r="D5" s="91" t="n"/>
      <c r="E5" s="89" t="n"/>
      <c r="F5" s="89" t="n"/>
      <c r="G5" s="92" t="n"/>
      <c r="H5" s="88" t="n"/>
      <c r="I5" s="89" t="n"/>
      <c r="J5" s="89" t="n"/>
      <c r="K5" s="90" t="n"/>
      <c r="L5" s="91" t="n"/>
      <c r="M5" s="89" t="n"/>
      <c r="N5" s="89" t="n"/>
      <c r="O5" s="92" t="n"/>
      <c r="P5" s="91" t="n"/>
      <c r="Q5" s="89" t="n"/>
      <c r="R5" s="89" t="n"/>
      <c r="S5" s="92" t="n"/>
      <c r="T5" s="91" t="n"/>
      <c r="U5" s="89" t="n"/>
      <c r="V5" s="89" t="n"/>
      <c r="W5" s="92" t="n"/>
    </row>
    <row r="6" ht="34.75" customHeight="1">
      <c r="A6" s="225" t="inlineStr">
        <is>
          <t>UI/UX Design</t>
        </is>
      </c>
      <c r="B6" s="232" t="n"/>
      <c r="C6" s="88" t="n"/>
      <c r="D6" s="91" t="n"/>
      <c r="E6" s="89" t="n"/>
      <c r="F6" s="89" t="n"/>
      <c r="G6" s="92" t="n"/>
      <c r="H6" s="88" t="n"/>
      <c r="I6" s="89" t="n"/>
      <c r="J6" s="89" t="n"/>
      <c r="K6" s="90" t="n"/>
      <c r="L6" s="91" t="n"/>
      <c r="M6" s="89" t="n"/>
      <c r="N6" s="89" t="n"/>
      <c r="O6" s="92" t="n"/>
      <c r="P6" s="91" t="n"/>
      <c r="Q6" s="89" t="n"/>
      <c r="R6" s="89" t="n"/>
      <c r="S6" s="92" t="n"/>
      <c r="T6" s="91" t="n"/>
      <c r="U6" s="89" t="n"/>
      <c r="V6" s="89" t="n"/>
      <c r="W6" s="92" t="n"/>
    </row>
    <row r="7" ht="34.75" customHeight="1">
      <c r="A7" s="228" t="inlineStr">
        <is>
          <t>Design &amp; Test Case 
Documentation</t>
        </is>
      </c>
      <c r="B7" s="232" t="n"/>
      <c r="C7" s="88" t="n"/>
      <c r="D7" s="91" t="n"/>
      <c r="E7" s="89" t="n"/>
      <c r="F7" s="89" t="n"/>
      <c r="G7" s="92" t="n"/>
      <c r="H7" s="88" t="n"/>
      <c r="I7" s="89" t="n"/>
      <c r="J7" s="89" t="n"/>
      <c r="K7" s="90" t="n"/>
      <c r="L7" s="91" t="n"/>
      <c r="M7" s="89" t="n"/>
      <c r="N7" s="89" t="n"/>
      <c r="O7" s="92" t="n"/>
      <c r="P7" s="91" t="n"/>
      <c r="Q7" s="89" t="n"/>
      <c r="R7" s="89" t="n"/>
      <c r="S7" s="92" t="n"/>
      <c r="T7" s="91" t="n"/>
      <c r="U7" s="89" t="n"/>
      <c r="V7" s="89" t="n"/>
      <c r="W7" s="92" t="n"/>
    </row>
    <row r="8" ht="34.15" customHeight="1">
      <c r="A8" s="225" t="inlineStr">
        <is>
          <t>Development</t>
        </is>
      </c>
      <c r="B8" s="232" t="n"/>
      <c r="C8" s="88" t="n"/>
      <c r="D8" s="91" t="n"/>
      <c r="E8" s="89" t="n"/>
      <c r="F8" s="89" t="n"/>
      <c r="G8" s="92" t="n"/>
      <c r="H8" s="88" t="n"/>
      <c r="I8" s="89" t="n"/>
      <c r="J8" s="89" t="n"/>
      <c r="K8" s="90" t="n"/>
      <c r="L8" s="91" t="n"/>
      <c r="M8" s="89" t="n"/>
      <c r="N8" s="89" t="n"/>
      <c r="O8" s="92" t="n"/>
      <c r="P8" s="91" t="n"/>
      <c r="Q8" s="89" t="n"/>
      <c r="R8" s="89" t="n"/>
      <c r="S8" s="92" t="n"/>
      <c r="T8" s="91" t="n"/>
      <c r="U8" s="89" t="n"/>
      <c r="V8" s="89" t="n"/>
      <c r="W8" s="92" t="n"/>
    </row>
    <row r="9" ht="34.15" customHeight="1">
      <c r="A9" s="225" t="inlineStr">
        <is>
          <t>Testing Server Setting</t>
        </is>
      </c>
      <c r="B9" s="232" t="n"/>
      <c r="C9" s="88" t="n"/>
      <c r="D9" s="91" t="n"/>
      <c r="E9" s="89" t="n"/>
      <c r="F9" s="89" t="n"/>
      <c r="G9" s="92" t="n"/>
      <c r="H9" s="88" t="n"/>
      <c r="I9" s="89" t="n"/>
      <c r="J9" s="89" t="n"/>
      <c r="K9" s="90" t="n"/>
      <c r="L9" s="91" t="n"/>
      <c r="M9" s="89" t="n"/>
      <c r="N9" s="89" t="n"/>
      <c r="O9" s="92" t="n"/>
      <c r="P9" s="91" t="n"/>
      <c r="Q9" s="89" t="n"/>
      <c r="R9" s="89" t="n"/>
      <c r="S9" s="92" t="n"/>
      <c r="T9" s="91" t="n"/>
      <c r="U9" s="89" t="n"/>
      <c r="V9" s="89" t="n"/>
      <c r="W9" s="92" t="n"/>
    </row>
    <row r="10" ht="32.9" customHeight="1">
      <c r="A10" s="225" t="inlineStr">
        <is>
          <t>Unit Testing</t>
        </is>
      </c>
      <c r="B10" s="232" t="n"/>
      <c r="C10" s="88" t="n"/>
      <c r="D10" s="91" t="n"/>
      <c r="E10" s="89" t="n"/>
      <c r="F10" s="89" t="n"/>
      <c r="G10" s="92" t="n"/>
      <c r="H10" s="88" t="n"/>
      <c r="I10" s="89" t="n"/>
      <c r="J10" s="89" t="n"/>
      <c r="K10" s="90" t="n"/>
      <c r="L10" s="91" t="n"/>
      <c r="M10" s="89" t="n"/>
      <c r="N10" s="89" t="n"/>
      <c r="O10" s="92" t="n"/>
      <c r="P10" s="91" t="n"/>
      <c r="Q10" s="89" t="n"/>
      <c r="R10" s="89" t="n"/>
      <c r="S10" s="92" t="n"/>
      <c r="T10" s="91" t="n"/>
      <c r="U10" s="89" t="n"/>
      <c r="V10" s="89" t="n"/>
      <c r="W10" s="92" t="n"/>
    </row>
    <row r="11" ht="34.15" customHeight="1">
      <c r="A11" s="256" t="inlineStr">
        <is>
          <t>Integration Testing</t>
        </is>
      </c>
      <c r="B11" s="232" t="n"/>
      <c r="C11" s="236" t="n"/>
      <c r="D11" s="96" t="n"/>
      <c r="E11" s="94" t="n"/>
      <c r="F11" s="94" t="n"/>
      <c r="G11" s="97" t="n"/>
      <c r="H11" s="93" t="n"/>
      <c r="I11" s="94" t="n"/>
      <c r="J11" s="94" t="n"/>
      <c r="K11" s="95" t="n"/>
      <c r="L11" s="96" t="n"/>
      <c r="M11" s="94" t="n"/>
      <c r="N11" s="94" t="n"/>
      <c r="O11" s="97" t="n"/>
      <c r="P11" s="96" t="n"/>
      <c r="Q11" s="94" t="n"/>
      <c r="R11" s="94" t="n"/>
      <c r="S11" s="97" t="n"/>
      <c r="T11" s="96" t="n"/>
      <c r="U11" s="94" t="n"/>
      <c r="V11" s="94" t="n"/>
      <c r="W11" s="97" t="n"/>
    </row>
    <row r="12" ht="34.15" customHeight="1">
      <c r="A12" s="256" t="inlineStr">
        <is>
          <t>UAT Server Setting</t>
        </is>
      </c>
      <c r="B12" s="232" t="n"/>
      <c r="C12" s="236" t="n"/>
      <c r="D12" s="91" t="n"/>
      <c r="E12" s="89" t="n"/>
      <c r="F12" s="89" t="n"/>
      <c r="G12" s="92" t="n"/>
      <c r="H12" s="88" t="n"/>
      <c r="I12" s="89" t="n"/>
      <c r="J12" s="89" t="n"/>
      <c r="K12" s="90" t="n"/>
      <c r="L12" s="91" t="n"/>
      <c r="M12" s="89" t="n"/>
      <c r="N12" s="89" t="n"/>
      <c r="O12" s="92" t="n"/>
      <c r="P12" s="91" t="n"/>
      <c r="Q12" s="89" t="n"/>
      <c r="R12" s="89" t="n"/>
      <c r="S12" s="92" t="n"/>
      <c r="T12" s="91" t="n"/>
      <c r="U12" s="89" t="n"/>
      <c r="V12" s="89" t="n"/>
      <c r="W12" s="92" t="n"/>
    </row>
    <row r="13" ht="34.15" customHeight="1">
      <c r="A13" s="256" t="inlineStr">
        <is>
          <t>User Acceptance Testing</t>
        </is>
      </c>
      <c r="B13" s="232" t="n"/>
      <c r="C13" s="236" t="n"/>
      <c r="D13" s="91" t="n"/>
      <c r="E13" s="89" t="n"/>
      <c r="F13" s="89" t="n"/>
      <c r="G13" s="92" t="n"/>
      <c r="H13" s="88" t="n"/>
      <c r="I13" s="89" t="n"/>
      <c r="J13" s="89" t="n"/>
      <c r="K13" s="90" t="n"/>
      <c r="L13" s="91" t="n"/>
      <c r="M13" s="89" t="n"/>
      <c r="N13" s="89" t="n"/>
      <c r="O13" s="92" t="n"/>
      <c r="P13" s="91" t="n"/>
      <c r="Q13" s="89" t="n"/>
      <c r="R13" s="89" t="n"/>
      <c r="S13" s="92" t="n"/>
      <c r="T13" s="91" t="n"/>
      <c r="U13" s="89" t="n"/>
      <c r="V13" s="89" t="n"/>
      <c r="W13" s="92" t="n"/>
    </row>
    <row r="14" ht="34.15" customHeight="1">
      <c r="A14" s="256" t="inlineStr">
        <is>
          <t>Production Server Setting</t>
        </is>
      </c>
      <c r="B14" s="232" t="n"/>
      <c r="C14" s="236" t="n"/>
      <c r="D14" s="91" t="n"/>
      <c r="E14" s="89" t="n"/>
      <c r="F14" s="89" t="n"/>
      <c r="G14" s="92" t="n"/>
      <c r="H14" s="88" t="n"/>
      <c r="I14" s="89" t="n"/>
      <c r="J14" s="89" t="n"/>
      <c r="K14" s="90" t="n"/>
      <c r="L14" s="91" t="n"/>
      <c r="M14" s="89" t="n"/>
      <c r="N14" s="89" t="n"/>
      <c r="O14" s="92" t="n"/>
      <c r="P14" s="91" t="n"/>
      <c r="Q14" s="89" t="n"/>
      <c r="R14" s="89" t="n"/>
      <c r="S14" s="92" t="n"/>
      <c r="T14" s="91" t="n"/>
      <c r="U14" s="89" t="n"/>
      <c r="V14" s="89" t="n"/>
      <c r="W14" s="92" t="n"/>
    </row>
    <row r="15" ht="34.15" customHeight="1">
      <c r="A15" s="256" t="inlineStr">
        <is>
          <t>User Training</t>
        </is>
      </c>
      <c r="B15" s="232" t="n"/>
      <c r="C15" s="236" t="n"/>
      <c r="D15" s="91" t="n"/>
      <c r="E15" s="89" t="n"/>
      <c r="F15" s="89" t="n"/>
      <c r="G15" s="92" t="n"/>
      <c r="H15" s="88" t="n"/>
      <c r="I15" s="89" t="n"/>
      <c r="J15" s="89" t="n"/>
      <c r="K15" s="90" t="n"/>
      <c r="L15" s="91" t="n"/>
      <c r="M15" s="89" t="n"/>
      <c r="N15" s="89" t="n"/>
      <c r="O15" s="92" t="n"/>
      <c r="P15" s="91" t="n"/>
      <c r="Q15" s="89" t="n"/>
      <c r="R15" s="89" t="n"/>
      <c r="S15" s="92" t="n"/>
      <c r="T15" s="91" t="n"/>
      <c r="U15" s="89" t="n"/>
      <c r="V15" s="89" t="n"/>
      <c r="W15" s="92" t="n"/>
    </row>
    <row r="16" ht="34.15" customHeight="1">
      <c r="A16" s="225" t="inlineStr">
        <is>
          <t>Deployment</t>
        </is>
      </c>
      <c r="B16" s="232" t="n"/>
      <c r="C16" s="88" t="n"/>
      <c r="D16" s="91" t="n"/>
      <c r="E16" s="89" t="n"/>
      <c r="F16" s="89" t="n"/>
      <c r="G16" s="92" t="n"/>
      <c r="H16" s="88" t="n"/>
      <c r="I16" s="89" t="n"/>
      <c r="J16" s="89" t="n"/>
      <c r="K16" s="90" t="n"/>
      <c r="L16" s="91" t="n"/>
      <c r="M16" s="89" t="n"/>
      <c r="N16" s="89" t="n"/>
      <c r="O16" s="92" t="n"/>
      <c r="P16" s="91" t="n"/>
      <c r="Q16" s="89" t="n"/>
      <c r="R16" s="89" t="n"/>
      <c r="S16" s="92" t="n"/>
      <c r="T16" s="91" t="n"/>
      <c r="U16" s="89" t="n"/>
      <c r="V16" s="89" t="n"/>
      <c r="W16" s="92" t="n"/>
    </row>
    <row r="17" ht="15" customHeight="1" thickBot="1">
      <c r="A17" s="223" t="n"/>
      <c r="B17" s="253" t="n"/>
      <c r="C17" s="102" t="n"/>
      <c r="D17" s="98" t="n"/>
      <c r="E17" s="99" t="n"/>
      <c r="F17" s="99" t="n"/>
      <c r="G17" s="101" t="n"/>
      <c r="H17" s="102" t="n"/>
      <c r="I17" s="99" t="n"/>
      <c r="J17" s="99" t="n"/>
      <c r="K17" s="100" t="n"/>
      <c r="L17" s="98" t="n"/>
      <c r="M17" s="99" t="n"/>
      <c r="N17" s="99" t="n"/>
      <c r="O17" s="101" t="n"/>
      <c r="P17" s="98" t="n"/>
      <c r="Q17" s="99" t="n"/>
      <c r="R17" s="99" t="n"/>
      <c r="S17" s="101" t="n"/>
      <c r="T17" s="98" t="n"/>
      <c r="U17" s="99" t="n"/>
      <c r="V17" s="99" t="n"/>
      <c r="W17" s="101" t="n"/>
    </row>
  </sheetData>
  <mergeCells count="20">
    <mergeCell ref="A12:C12"/>
    <mergeCell ref="A5:C5"/>
    <mergeCell ref="A14:C14"/>
    <mergeCell ref="A8:C8"/>
    <mergeCell ref="A17:C17"/>
    <mergeCell ref="L2:O2"/>
    <mergeCell ref="A4:C4"/>
    <mergeCell ref="A10:C10"/>
    <mergeCell ref="A13:C13"/>
    <mergeCell ref="A9:C9"/>
    <mergeCell ref="A15:C15"/>
    <mergeCell ref="D2:G2"/>
    <mergeCell ref="P2:S2"/>
    <mergeCell ref="A2:C3"/>
    <mergeCell ref="A11:C11"/>
    <mergeCell ref="A6:C6"/>
    <mergeCell ref="H2:K2"/>
    <mergeCell ref="T2:W2"/>
    <mergeCell ref="A7:C7"/>
    <mergeCell ref="A16:C1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BCMM</dc:creator>
  <dcterms:created xmlns:dcterms="http://purl.org/dc/terms/" xmlns:xsi="http://www.w3.org/2001/XMLSchema-instance" xsi:type="dcterms:W3CDTF">2023-05-17T08:35:34Z</dcterms:created>
  <dcterms:modified xmlns:dcterms="http://purl.org/dc/terms/" xmlns:xsi="http://www.w3.org/2001/XMLSchema-instance" xsi:type="dcterms:W3CDTF">2026-08-20T02:40:10Z</dcterms:modified>
  <cp:lastModifiedBy>BCMM146</cp:lastModifiedBy>
</cp:coreProperties>
</file>