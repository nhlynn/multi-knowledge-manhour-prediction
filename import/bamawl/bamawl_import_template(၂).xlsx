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6930" tabRatio="500" firstSheet="3" activeTab="3" autoFilterDateGrouping="1"/>
  </bookViews>
  <sheets>
    <sheet name="ReqDefinition" sheetId="1" state="visible" r:id="rId1"/>
    <sheet name="FunctionList" sheetId="2" state="visible" r:id="rId2"/>
    <sheet name="TotalManhour" sheetId="3" state="visible" r:id="rId3"/>
    <sheet name="ALL_Detail" sheetId="4" state="visible" r:id="rId4"/>
    <sheet name="Infra Manhour" sheetId="5" state="visible" r:id="rId5"/>
    <sheet name="Business Flow(system admin)" sheetId="6" state="visible" r:id="rId6"/>
    <sheet name="Milestone" sheetId="7" state="visible" r:id="rId7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"/>
    <numFmt numFmtId="166" formatCode="_(* #,##0.00_);_(* \(#,##0.00\);_(* \-??_);_(@_)"/>
    <numFmt numFmtId="167" formatCode="0.0000000000000"/>
    <numFmt numFmtId="168" formatCode="_-* #,##0.00_-;\-* #,##0.00_-;_-* \-??_-;_-@_-"/>
  </numFmts>
  <fonts count="26">
    <font>
      <name val="Calibri"/>
      <charset val="1"/>
      <family val="2"/>
      <color theme="1"/>
      <sz val="11"/>
    </font>
    <font>
      <name val="Arial"/>
      <charset val="1"/>
      <family val="2"/>
      <color rgb="FF000000"/>
      <sz val="10"/>
    </font>
    <font>
      <name val="Calibri"/>
      <charset val="1"/>
      <family val="2"/>
      <b val="1"/>
      <color theme="1"/>
      <sz val="16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rgb="FFFF0000"/>
      <sz val="11"/>
    </font>
    <font>
      <name val="Meiryo UI"/>
      <charset val="128"/>
      <family val="3"/>
      <color theme="1"/>
      <sz val="11"/>
    </font>
    <font>
      <name val="Noto Sans CJK SC"/>
      <family val="2"/>
      <b val="1"/>
      <color theme="1"/>
      <sz val="11"/>
    </font>
    <font>
      <name val="Times New Roman"/>
      <charset val="1"/>
      <family val="1"/>
      <color theme="1"/>
      <sz val="11"/>
    </font>
    <font>
      <name val="Times New Roman"/>
      <charset val="1"/>
      <family val="1"/>
      <sz val="10"/>
    </font>
    <font>
      <name val="Noto Sans CJK SC"/>
      <family val="2"/>
      <sz val="11"/>
    </font>
    <font>
      <name val="Times New Roman"/>
      <charset val="1"/>
      <family val="1"/>
      <sz val="11"/>
    </font>
    <font>
      <name val="Noto Sans CJK SC"/>
      <family val="2"/>
      <color rgb="FF000000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sz val="11"/>
    </font>
    <font>
      <name val="Meiryo UI"/>
      <charset val="128"/>
      <family val="3"/>
      <color rgb="FFFF0000"/>
      <sz val="11"/>
    </font>
    <font>
      <name val="Noto Sans CJK SC"/>
      <family val="2"/>
      <color rgb="FFFF0000"/>
      <sz val="11"/>
    </font>
    <font>
      <name val="Calibri Light"/>
      <charset val="1"/>
      <family val="2"/>
      <color theme="1"/>
      <sz val="11"/>
    </font>
    <font>
      <name val="Noto Sans CJK SC"/>
      <family val="2"/>
      <color theme="1"/>
      <sz val="11"/>
    </font>
    <font>
      <name val="Calibri"/>
      <charset val="1"/>
      <family val="2"/>
      <color rgb="FF9C6500"/>
      <sz val="11"/>
    </font>
    <font>
      <name val="Calibri"/>
      <charset val="1"/>
      <family val="2"/>
      <color rgb="FF006100"/>
      <sz val="11"/>
    </font>
    <font>
      <name val="Calibri"/>
      <charset val="1"/>
      <family val="2"/>
      <b val="1"/>
      <i val="1"/>
      <color rgb="FF0000FF"/>
      <sz val="11"/>
      <u val="single"/>
    </font>
    <font>
      <name val="Calibri"/>
      <charset val="1"/>
      <family val="2"/>
      <color rgb="FF0000FF"/>
      <sz val="11"/>
    </font>
    <font>
      <name val="Arial"/>
      <charset val="1"/>
      <family val="2"/>
      <color theme="1"/>
      <sz val="14"/>
      <u val="single"/>
    </font>
    <font>
      <name val="Arial"/>
      <charset val="1"/>
      <family val="2"/>
      <color theme="1"/>
      <sz val="10"/>
    </font>
    <font>
      <name val="Calibri"/>
      <charset val="1"/>
      <family val="2"/>
      <b val="1"/>
      <color theme="1"/>
      <sz val="14"/>
    </font>
    <font>
      <name val="Calibri"/>
      <charset val="1"/>
      <family val="2"/>
      <color theme="1"/>
      <sz val="11"/>
    </font>
  </fonts>
  <fills count="21">
    <fill>
      <patternFill/>
    </fill>
    <fill>
      <patternFill patternType="gray125"/>
    </fill>
    <fill>
      <patternFill patternType="solid">
        <fgColor rgb="FFFFEB9C"/>
        <bgColor rgb="FFFFE699"/>
      </patternFill>
    </fill>
    <fill>
      <patternFill patternType="solid">
        <fgColor rgb="FFC6EFCE"/>
        <bgColor rgb="FFE2F0D9"/>
      </patternFill>
    </fill>
    <fill>
      <patternFill patternType="solid">
        <fgColor theme="4" tint="0.3998840296639912"/>
        <bgColor rgb="FFBDD7EE"/>
      </patternFill>
    </fill>
    <fill>
      <patternFill patternType="solid">
        <fgColor theme="0" tint="-0.0499893185216834"/>
        <bgColor rgb="FFEDEDED"/>
      </patternFill>
    </fill>
    <fill>
      <patternFill patternType="solid">
        <fgColor theme="4" tint="0.5998718222602009"/>
        <bgColor rgb="FFDAE3F3"/>
      </patternFill>
    </fill>
    <fill>
      <patternFill patternType="solid">
        <fgColor theme="0"/>
        <bgColor rgb="FFF2F2F2"/>
      </patternFill>
    </fill>
    <fill>
      <patternFill patternType="solid">
        <fgColor theme="6" tint="0.7998901333658864"/>
        <bgColor rgb="FFF2F2F2"/>
      </patternFill>
    </fill>
    <fill>
      <patternFill patternType="solid">
        <fgColor theme="7" tint="0.5998718222602009"/>
        <bgColor rgb="FFFFEB9C"/>
      </patternFill>
    </fill>
    <fill>
      <patternFill patternType="solid">
        <fgColor theme="4" tint="0.7998901333658864"/>
        <bgColor rgb="FFDAE3F3"/>
      </patternFill>
    </fill>
    <fill>
      <patternFill patternType="solid">
        <fgColor theme="5" tint="0.7998901333658864"/>
        <bgColor rgb="FFEDEDED"/>
      </patternFill>
    </fill>
    <fill>
      <patternFill patternType="solid">
        <fgColor theme="8" tint="0.7998901333658864"/>
        <bgColor rgb="FFDEEBF7"/>
      </patternFill>
    </fill>
    <fill>
      <patternFill patternType="solid">
        <fgColor theme="9" tint="0.3998840296639912"/>
        <bgColor rgb="FF92D050"/>
      </patternFill>
    </fill>
    <fill>
      <patternFill patternType="solid">
        <fgColor rgb="FFCAF8FA"/>
        <bgColor rgb="FFCCECFF"/>
      </patternFill>
    </fill>
    <fill>
      <patternFill patternType="solid">
        <fgColor rgb="FFFFC000"/>
        <bgColor rgb="FFFF9900"/>
      </patternFill>
    </fill>
    <fill>
      <patternFill patternType="solid">
        <fgColor rgb="FFCCECFF"/>
        <bgColor rgb="FFCAF8FA"/>
      </patternFill>
    </fill>
    <fill>
      <patternFill patternType="solid">
        <fgColor theme="7" tint="0.3998840296639912"/>
        <bgColor rgb="FFFFE699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rgb="FFFFD966"/>
      </patternFill>
    </fill>
    <fill>
      <patternFill patternType="solid">
        <fgColor theme="9" tint="0.7998901333658864"/>
        <bgColor rgb="FFEDEDED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25" fillId="0" borderId="0"/>
    <xf numFmtId="166" fontId="25" fillId="0" borderId="0"/>
    <xf numFmtId="168" fontId="25" fillId="0" borderId="0"/>
    <xf numFmtId="0" fontId="1" fillId="0" borderId="0"/>
    <xf numFmtId="0" fontId="18" fillId="2" borderId="0"/>
    <xf numFmtId="0" fontId="19" fillId="3" borderId="0"/>
  </cellStyleXfs>
  <cellXfs count="183">
    <xf numFmtId="0" fontId="0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5" fillId="0" borderId="1" pivotButton="0" quotePrefix="0" xfId="0"/>
    <xf numFmtId="0" fontId="5" fillId="7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2" fontId="8" fillId="0" borderId="1" applyAlignment="1" pivotButton="0" quotePrefix="0" xfId="0">
      <alignment horizontal="center"/>
    </xf>
    <xf numFmtId="2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/>
    </xf>
    <xf numFmtId="2" fontId="0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left" indent="2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horizontal="center" vertical="center"/>
    </xf>
    <xf numFmtId="0" fontId="9" fillId="4" borderId="4" applyAlignment="1" pivotButton="0" quotePrefix="0" xfId="0">
      <alignment horizontal="right" vertical="center" wrapText="1"/>
    </xf>
    <xf numFmtId="2" fontId="7" fillId="4" borderId="5" applyAlignment="1" pivotButton="0" quotePrefix="0" xfId="0">
      <alignment horizontal="center" vertical="center"/>
    </xf>
    <xf numFmtId="1" fontId="0" fillId="0" borderId="0" applyAlignment="1" pivotButton="0" quotePrefix="0" xfId="0">
      <alignment vertical="center"/>
    </xf>
    <xf numFmtId="0" fontId="9" fillId="4" borderId="6" applyAlignment="1" pivotButton="0" quotePrefix="0" xfId="0">
      <alignment horizontal="right" vertical="center" wrapText="1"/>
    </xf>
    <xf numFmtId="2" fontId="7" fillId="4" borderId="7" applyAlignment="1" pivotButton="0" quotePrefix="0" xfId="0">
      <alignment horizontal="center" vertical="center"/>
    </xf>
    <xf numFmtId="0" fontId="9" fillId="4" borderId="8" applyAlignment="1" pivotButton="0" quotePrefix="0" xfId="0">
      <alignment horizontal="right" vertical="center" wrapText="1"/>
    </xf>
    <xf numFmtId="2" fontId="7" fillId="4" borderId="9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11" fillId="8" borderId="0" applyAlignment="1" pivotButton="0" quotePrefix="0" xfId="3">
      <alignment vertical="center" shrinkToFit="1"/>
    </xf>
    <xf numFmtId="0" fontId="12" fillId="8" borderId="0" applyAlignment="1" pivotButton="0" quotePrefix="0" xfId="3">
      <alignment vertical="center" shrinkToFit="1"/>
    </xf>
    <xf numFmtId="9" fontId="13" fillId="8" borderId="0" applyAlignment="1" pivotButton="0" quotePrefix="0" xfId="3">
      <alignment vertical="center" wrapText="1"/>
    </xf>
    <xf numFmtId="9" fontId="14" fillId="8" borderId="0" applyAlignment="1" pivotButton="0" quotePrefix="0" xfId="3">
      <alignment vertical="center" wrapText="1"/>
    </xf>
    <xf numFmtId="9" fontId="15" fillId="10" borderId="1" applyAlignment="1" pivotButton="0" quotePrefix="0" xfId="3">
      <alignment vertical="center" wrapText="1"/>
    </xf>
    <xf numFmtId="9" fontId="14" fillId="8" borderId="10" applyAlignment="1" pivotButton="0" quotePrefix="0" xfId="3">
      <alignment vertical="center" wrapText="1"/>
    </xf>
    <xf numFmtId="9" fontId="14" fillId="8" borderId="11" applyAlignment="1" pivotButton="0" quotePrefix="0" xfId="3">
      <alignment vertical="center" wrapText="1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 wrapText="1"/>
    </xf>
    <xf numFmtId="0" fontId="12" fillId="9" borderId="1" applyAlignment="1" pivotButton="0" quotePrefix="0" xfId="3">
      <alignment horizontal="center" vertical="center" wrapText="1"/>
    </xf>
    <xf numFmtId="0" fontId="12" fillId="9" borderId="1" applyAlignment="1" pivotButton="0" quotePrefix="0" xfId="3">
      <alignment vertical="center" wrapText="1"/>
    </xf>
    <xf numFmtId="0" fontId="12" fillId="10" borderId="1" applyAlignment="1" pivotButton="0" quotePrefix="0" xfId="3">
      <alignment horizontal="center" vertical="center" wrapText="1"/>
    </xf>
    <xf numFmtId="0" fontId="11" fillId="10" borderId="1" applyAlignment="1" pivotButton="0" quotePrefix="0" xfId="3">
      <alignment horizontal="center" vertical="center" wrapText="1"/>
    </xf>
    <xf numFmtId="0" fontId="11" fillId="10" borderId="1" applyAlignment="1" pivotButton="0" quotePrefix="0" xfId="3">
      <alignment vertical="center" wrapText="1"/>
    </xf>
    <xf numFmtId="0" fontId="11" fillId="12" borderId="1" applyAlignment="1" pivotButton="0" quotePrefix="0" xfId="3">
      <alignment vertical="center" wrapText="1"/>
    </xf>
    <xf numFmtId="0" fontId="11" fillId="13" borderId="1" applyAlignment="1" pivotButton="0" quotePrefix="0" xfId="3">
      <alignment horizontal="center" vertical="center" wrapText="1"/>
    </xf>
    <xf numFmtId="0" fontId="11" fillId="13" borderId="1" applyAlignment="1" pivotButton="0" quotePrefix="0" xfId="3">
      <alignment vertical="center" wrapText="1"/>
    </xf>
    <xf numFmtId="0" fontId="12" fillId="12" borderId="1" applyAlignment="1" pivotButton="0" quotePrefix="0" xfId="3">
      <alignment vertical="center" wrapText="1"/>
    </xf>
    <xf numFmtId="0" fontId="16" fillId="0" borderId="2" applyAlignment="1" pivotButton="0" quotePrefix="0" xfId="0">
      <alignment vertical="center" wrapText="1"/>
    </xf>
    <xf numFmtId="0" fontId="17" fillId="0" borderId="2" applyAlignment="1" pivotButton="0" quotePrefix="0" xfId="0">
      <alignment vertical="center"/>
    </xf>
    <xf numFmtId="0" fontId="0" fillId="0" borderId="1" applyAlignment="1" pivotButton="0" quotePrefix="0" xfId="4">
      <alignment vertical="center"/>
    </xf>
    <xf numFmtId="2" fontId="0" fillId="0" borderId="2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6" fillId="7" borderId="2" applyAlignment="1" pivotButton="0" quotePrefix="0" xfId="0">
      <alignment vertical="center" wrapText="1"/>
    </xf>
    <xf numFmtId="0" fontId="0" fillId="7" borderId="1" applyAlignment="1" pivotButton="0" quotePrefix="0" xfId="0">
      <alignment vertical="center"/>
    </xf>
    <xf numFmtId="0" fontId="17" fillId="7" borderId="2" applyAlignment="1" pivotButton="0" quotePrefix="0" xfId="0">
      <alignment vertical="center"/>
    </xf>
    <xf numFmtId="2" fontId="0" fillId="7" borderId="2" applyAlignment="1" pivotButton="0" quotePrefix="0" xfId="0">
      <alignment vertical="center"/>
    </xf>
    <xf numFmtId="2" fontId="0" fillId="7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right" vertical="center" wrapText="1"/>
    </xf>
    <xf numFmtId="2" fontId="0" fillId="14" borderId="4" applyAlignment="1" pivotButton="0" quotePrefix="0" xfId="0">
      <alignment vertical="center"/>
    </xf>
    <xf numFmtId="2" fontId="0" fillId="15" borderId="13" applyAlignment="1" pivotButton="0" quotePrefix="0" xfId="0">
      <alignment vertical="center"/>
    </xf>
    <xf numFmtId="2" fontId="0" fillId="15" borderId="4" applyAlignment="1" pivotButton="0" quotePrefix="0" xfId="0">
      <alignment vertical="center"/>
    </xf>
    <xf numFmtId="2" fontId="0" fillId="14" borderId="13" applyAlignment="1" pivotButton="0" quotePrefix="0" xfId="0">
      <alignment vertical="center"/>
    </xf>
    <xf numFmtId="2" fontId="0" fillId="14" borderId="6" applyAlignment="1" pivotButton="0" quotePrefix="0" xfId="0">
      <alignment vertical="center"/>
    </xf>
    <xf numFmtId="2" fontId="0" fillId="14" borderId="1" applyAlignment="1" pivotButton="0" quotePrefix="0" xfId="0">
      <alignment vertical="center"/>
    </xf>
    <xf numFmtId="2" fontId="0" fillId="14" borderId="7" applyAlignment="1" pivotButton="0" quotePrefix="0" xfId="0">
      <alignment vertical="center"/>
    </xf>
    <xf numFmtId="2" fontId="0" fillId="14" borderId="16" applyAlignment="1" pivotButton="0" quotePrefix="0" xfId="0">
      <alignment vertical="center"/>
    </xf>
    <xf numFmtId="2" fontId="0" fillId="14" borderId="2" applyAlignment="1" pivotButton="0" quotePrefix="0" xfId="0">
      <alignment vertical="center"/>
    </xf>
    <xf numFmtId="2" fontId="0" fillId="14" borderId="17" applyAlignment="1" pivotButton="0" quotePrefix="0" xfId="0">
      <alignment vertical="center"/>
    </xf>
    <xf numFmtId="2" fontId="0" fillId="16" borderId="13" applyAlignment="1" pivotButton="0" quotePrefix="0" xfId="0">
      <alignment vertical="center"/>
    </xf>
    <xf numFmtId="2" fontId="0" fillId="17" borderId="13" applyAlignment="1" pivotButton="0" quotePrefix="0" xfId="0">
      <alignment vertical="center"/>
    </xf>
    <xf numFmtId="2" fontId="0" fillId="16" borderId="5" applyAlignment="1" pivotButton="0" quotePrefix="0" xfId="0">
      <alignment vertical="center"/>
    </xf>
    <xf numFmtId="2" fontId="0" fillId="16" borderId="1" applyAlignment="1" pivotButton="0" quotePrefix="0" xfId="0">
      <alignment vertical="center"/>
    </xf>
    <xf numFmtId="2" fontId="0" fillId="16" borderId="7" applyAlignment="1" pivotButton="0" quotePrefix="0" xfId="0">
      <alignment vertical="center"/>
    </xf>
    <xf numFmtId="2" fontId="0" fillId="16" borderId="18" applyAlignment="1" pivotButton="0" quotePrefix="0" xfId="0">
      <alignment vertical="center"/>
    </xf>
    <xf numFmtId="2" fontId="0" fillId="16" borderId="9" applyAlignment="1" pivotButton="0" quotePrefix="0" xfId="0">
      <alignment vertical="center"/>
    </xf>
    <xf numFmtId="0" fontId="19" fillId="3" borderId="1" applyAlignment="1" pivotButton="0" quotePrefix="0" xfId="5">
      <alignment vertical="center"/>
    </xf>
    <xf numFmtId="0" fontId="19" fillId="3" borderId="1" applyAlignment="1" pivotButton="0" quotePrefix="0" xfId="5">
      <alignment horizontal="center" vertical="center"/>
    </xf>
    <xf numFmtId="0" fontId="19" fillId="0" borderId="19" applyAlignment="1" pivotButton="0" quotePrefix="0" xfId="5">
      <alignment horizontal="center" vertical="center"/>
    </xf>
    <xf numFmtId="164" fontId="0" fillId="0" borderId="19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1">
      <alignment vertical="center"/>
    </xf>
    <xf numFmtId="167" fontId="0" fillId="0" borderId="0" applyAlignment="1" pivotButton="0" quotePrefix="0" xfId="0">
      <alignment vertical="center"/>
    </xf>
    <xf numFmtId="0" fontId="0" fillId="18" borderId="1" applyAlignment="1" pivotButton="0" quotePrefix="0" xfId="0">
      <alignment vertical="center"/>
    </xf>
    <xf numFmtId="2" fontId="0" fillId="18" borderId="1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19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23" fillId="19" borderId="1" applyAlignment="1" pivotButton="0" quotePrefix="0" xfId="0">
      <alignment horizontal="center"/>
    </xf>
    <xf numFmtId="0" fontId="23" fillId="19" borderId="1" pivotButton="0" quotePrefix="0" xfId="0"/>
    <xf numFmtId="0" fontId="23" fillId="19" borderId="22" applyAlignment="1" pivotButton="0" quotePrefix="0" xfId="0">
      <alignment horizontal="center"/>
    </xf>
    <xf numFmtId="0" fontId="23" fillId="0" borderId="25" pivotButton="0" quotePrefix="0" xfId="0"/>
    <xf numFmtId="0" fontId="23" fillId="0" borderId="25" applyAlignment="1" pivotButton="0" quotePrefix="0" xfId="0">
      <alignment horizontal="center"/>
    </xf>
    <xf numFmtId="15" fontId="23" fillId="0" borderId="25" applyAlignment="1" pivotButton="0" quotePrefix="0" xfId="0">
      <alignment horizontal="center"/>
    </xf>
    <xf numFmtId="15" fontId="23" fillId="0" borderId="26" applyAlignment="1" pivotButton="0" quotePrefix="0" xfId="0">
      <alignment horizontal="center"/>
    </xf>
    <xf numFmtId="0" fontId="23" fillId="0" borderId="27" pivotButton="0" quotePrefix="0" xfId="0"/>
    <xf numFmtId="0" fontId="23" fillId="0" borderId="27" applyAlignment="1" pivotButton="0" quotePrefix="0" xfId="0">
      <alignment horizontal="center"/>
    </xf>
    <xf numFmtId="15" fontId="23" fillId="0" borderId="27" applyAlignment="1" pivotButton="0" quotePrefix="0" xfId="0">
      <alignment horizontal="center"/>
    </xf>
    <xf numFmtId="15" fontId="23" fillId="0" borderId="28" applyAlignment="1" pivotButton="0" quotePrefix="0" xfId="0">
      <alignment horizontal="left"/>
    </xf>
    <xf numFmtId="0" fontId="23" fillId="0" borderId="28" applyAlignment="1" pivotButton="0" quotePrefix="0" xfId="0">
      <alignment horizontal="left"/>
    </xf>
    <xf numFmtId="0" fontId="23" fillId="0" borderId="24" pivotButton="0" quotePrefix="0" xfId="0"/>
    <xf numFmtId="0" fontId="23" fillId="0" borderId="23" applyAlignment="1" pivotButton="0" quotePrefix="0" xfId="0">
      <alignment horizontal="left"/>
    </xf>
    <xf numFmtId="0" fontId="0" fillId="9" borderId="6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7" applyAlignment="1" pivotButton="0" quotePrefix="0" xfId="0">
      <alignment horizontal="center" vertical="center"/>
    </xf>
    <xf numFmtId="0" fontId="0" fillId="9" borderId="22" applyAlignment="1" pivotButton="0" quotePrefix="0" xfId="0">
      <alignment horizontal="center" vertical="center"/>
    </xf>
    <xf numFmtId="0" fontId="0" fillId="9" borderId="3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2" pivotButton="0" quotePrefix="0" xfId="0"/>
    <xf numFmtId="0" fontId="0" fillId="0" borderId="31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1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24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36" pivotButton="0" quotePrefix="0" xfId="0"/>
    <xf numFmtId="0" fontId="2" fillId="0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16" borderId="6" applyAlignment="1" pivotButton="0" quotePrefix="0" xfId="0">
      <alignment horizontal="right" vertical="center"/>
    </xf>
    <xf numFmtId="0" fontId="0" fillId="16" borderId="8" applyAlignment="1" pivotButton="0" quotePrefix="0" xfId="0">
      <alignment horizontal="right" vertical="center"/>
    </xf>
    <xf numFmtId="9" fontId="14" fillId="8" borderId="11" applyAlignment="1" pivotButton="0" quotePrefix="0" xfId="3">
      <alignment horizontal="center" vertical="center" wrapText="1"/>
    </xf>
    <xf numFmtId="0" fontId="0" fillId="14" borderId="12" applyAlignment="1" pivotButton="0" quotePrefix="0" xfId="0">
      <alignment horizontal="right" vertical="center"/>
    </xf>
    <xf numFmtId="0" fontId="0" fillId="14" borderId="14" applyAlignment="1" pivotButton="0" quotePrefix="0" xfId="0">
      <alignment horizontal="right" vertical="center"/>
    </xf>
    <xf numFmtId="0" fontId="0" fillId="14" borderId="15" applyAlignment="1" pivotButton="0" quotePrefix="0" xfId="0">
      <alignment horizontal="right" vertical="center"/>
    </xf>
    <xf numFmtId="0" fontId="0" fillId="16" borderId="4" applyAlignment="1" pivotButton="0" quotePrefix="0" xfId="0">
      <alignment horizontal="right" vertical="center"/>
    </xf>
    <xf numFmtId="9" fontId="15" fillId="9" borderId="1" applyAlignment="1" pivotButton="0" quotePrefix="0" xfId="3">
      <alignment horizontal="center" vertical="center" wrapText="1"/>
    </xf>
    <xf numFmtId="9" fontId="15" fillId="10" borderId="1" applyAlignment="1" pivotButton="0" quotePrefix="0" xfId="3">
      <alignment horizontal="center" vertical="center" wrapText="1"/>
    </xf>
    <xf numFmtId="0" fontId="22" fillId="5" borderId="11" applyAlignment="1" pivotButton="0" quotePrefix="0" xfId="0">
      <alignment horizontal="center" vertical="center"/>
    </xf>
    <xf numFmtId="0" fontId="23" fillId="0" borderId="23" applyAlignment="1" pivotButton="0" quotePrefix="0" xfId="0">
      <alignment horizontal="center" vertical="center"/>
    </xf>
    <xf numFmtId="0" fontId="23" fillId="0" borderId="24" applyAlignment="1" pivotButton="0" quotePrefix="0" xfId="0">
      <alignment horizontal="center" vertical="center"/>
    </xf>
    <xf numFmtId="0" fontId="0" fillId="20" borderId="21" applyAlignment="1" pivotButton="0" quotePrefix="0" xfId="0">
      <alignment horizontal="center" vertical="center"/>
    </xf>
    <xf numFmtId="0" fontId="0" fillId="20" borderId="6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3" fillId="9" borderId="4" applyAlignment="1" pivotButton="0" quotePrefix="0" xfId="0">
      <alignment horizontal="center"/>
    </xf>
    <xf numFmtId="0" fontId="0" fillId="20" borderId="20" applyAlignment="1" pivotButton="0" quotePrefix="0" xfId="0">
      <alignment horizontal="center" vertical="center"/>
    </xf>
    <xf numFmtId="0" fontId="0" fillId="20" borderId="6" applyAlignment="1" pivotButton="0" quotePrefix="0" xfId="0">
      <alignment horizontal="center" vertical="center" wrapText="1"/>
    </xf>
    <xf numFmtId="0" fontId="24" fillId="0" borderId="29" applyAlignment="1" pivotButton="0" quotePrefix="0" xfId="0">
      <alignment horizontal="center" vertical="center"/>
    </xf>
    <xf numFmtId="0" fontId="3" fillId="9" borderId="4" applyAlignment="1" pivotButton="0" quotePrefix="0" xfId="0">
      <alignment horizontal="center" vertical="center"/>
    </xf>
    <xf numFmtId="0" fontId="3" fillId="9" borderId="30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38" pivotButton="0" quotePrefix="0" xfId="0"/>
    <xf numFmtId="0" fontId="0" fillId="0" borderId="11" pivotButton="0" quotePrefix="0" xfId="0"/>
    <xf numFmtId="0" fontId="0" fillId="0" borderId="43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37" pivotButton="0" quotePrefix="0" xfId="0"/>
    <xf numFmtId="0" fontId="0" fillId="0" borderId="15" pivotButton="0" quotePrefix="0" xfId="0"/>
    <xf numFmtId="0" fontId="0" fillId="0" borderId="30" pivotButton="0" quotePrefix="0" xfId="0"/>
    <xf numFmtId="0" fontId="0" fillId="0" borderId="39" pivotButton="0" quotePrefix="0" xfId="0"/>
    <xf numFmtId="0" fontId="0" fillId="0" borderId="40" pivotButton="0" quotePrefix="0" xfId="0"/>
    <xf numFmtId="164" fontId="0" fillId="0" borderId="19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1">
      <alignment vertical="center"/>
    </xf>
    <xf numFmtId="167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28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</cellXfs>
  <cellStyles count="6">
    <cellStyle name="Normal" xfId="0" builtinId="0"/>
    <cellStyle name="Comma" xfId="1" builtinId="3"/>
    <cellStyle name="Comma 2" xfId="2"/>
    <cellStyle name="標準 2 2" xfId="3"/>
    <cellStyle name="Excel Built-in Neutral" xfId="4"/>
    <cellStyle name="Excel Built-in Good" xfId="5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A9D18E"/>
      <rgbColor rgb="FF808080"/>
      <rgbColor rgb="FFDEEBF7"/>
      <rgbColor rgb="FF993366"/>
      <rgbColor rgb="FFF2F2F2"/>
      <rgbColor rgb="FFCAF8FA"/>
      <rgbColor rgb="FF660066"/>
      <rgbColor rgb="FFEDEDED"/>
      <rgbColor rgb="FF0066CC"/>
      <rgbColor rgb="FFBDD7EE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CCFF"/>
      <rgbColor rgb="FFCCECFF"/>
      <rgbColor rgb="FFC6EFCE"/>
      <rgbColor rgb="FFFFEB9C"/>
      <rgbColor rgb="FF9DC3E6"/>
      <rgbColor rgb="FFFBE5D6"/>
      <rgbColor rgb="FFDAE3F3"/>
      <rgbColor rgb="FFFFD966"/>
      <rgbColor rgb="FF3366FF"/>
      <rgbColor rgb="FF33CCCC"/>
      <rgbColor rgb="FF92D050"/>
      <rgbColor rgb="FFFFC000"/>
      <rgbColor rgb="FFFF9900"/>
      <rgbColor rgb="FFFF6600"/>
      <rgbColor rgb="FF666699"/>
      <rgbColor rgb="FFE2F0D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9"/>
  <sheetViews>
    <sheetView showGridLines="0" zoomScale="99" zoomScaleNormal="99" workbookViewId="0">
      <selection activeCell="B38" sqref="B38"/>
    </sheetView>
  </sheetViews>
  <sheetFormatPr baseColWidth="8" defaultColWidth="8.6328125" defaultRowHeight="14.5"/>
  <cols>
    <col width="6.26953125" customWidth="1" min="1" max="1"/>
    <col width="33.453125" customWidth="1" min="2" max="2"/>
    <col width="108.1796875" customWidth="1" min="3" max="3"/>
  </cols>
  <sheetData>
    <row r="1" ht="21" customHeight="1">
      <c r="B1" s="135" t="inlineStr">
        <is>
          <t>Sample HR &amp; Attendance Management System</t>
        </is>
      </c>
    </row>
    <row r="3" ht="33" customHeight="1">
      <c r="B3" s="136" t="inlineStr">
        <is>
          <t>Purpose</t>
        </is>
      </c>
      <c r="C3" s="2" t="inlineStr">
        <is>
          <t>Sample purpose description: digitize employee attendance and leave management. For demonstration purposes only.</t>
        </is>
      </c>
    </row>
    <row r="4" ht="33" customHeight="1">
      <c r="B4" s="136" t="inlineStr">
        <is>
          <t>In Scope</t>
        </is>
      </c>
      <c r="C4" s="137" t="inlineStr">
        <is>
          <t>Sample scope: employee master data management, attendance tracking, leave request workflow, and reporting. For demonstration purposes only.</t>
        </is>
      </c>
    </row>
    <row r="5" ht="29.25" customHeight="1">
      <c r="B5" s="136" t="inlineStr">
        <is>
          <t>Document Specifications</t>
        </is>
      </c>
      <c r="C5" s="137" t="inlineStr">
        <is>
          <t>Sample document specifications: design document, test specification, user manual. For demonstration purposes only.</t>
        </is>
      </c>
    </row>
    <row r="6" ht="29.25" customHeight="1">
      <c r="B6" s="4" t="inlineStr">
        <is>
          <t>Functional Specifications</t>
        </is>
      </c>
      <c r="C6" s="5" t="inlineStr">
        <is>
          <t>Sample functional specifications: role-based login, master data registers, approval workflow, notifications. For demonstration purposes only.</t>
        </is>
      </c>
    </row>
    <row r="7" ht="14.25" customHeight="1">
      <c r="B7" s="136" t="inlineStr">
        <is>
          <t>Server Environment</t>
        </is>
      </c>
      <c r="C7" s="137" t="inlineStr">
        <is>
          <t>Sample server environment: on-premise server with standard specifications. For demonstration purposes only.</t>
        </is>
      </c>
    </row>
    <row r="8" ht="14.25" customHeight="1">
      <c r="B8" s="160" t="n"/>
      <c r="C8" s="160" t="n"/>
    </row>
    <row r="9" ht="14.25" customHeight="1">
      <c r="B9" s="160" t="n"/>
      <c r="C9" s="160" t="n"/>
    </row>
    <row r="10">
      <c r="B10" s="160" t="n"/>
      <c r="C10" s="160" t="n"/>
    </row>
    <row r="11" ht="14.25" customHeight="1">
      <c r="B11" s="161" t="n"/>
      <c r="C11" s="161" t="n"/>
    </row>
    <row r="12" ht="14.25" customHeight="1">
      <c r="B12" s="136" t="inlineStr">
        <is>
          <t>Out of Scope</t>
        </is>
      </c>
      <c r="C12" s="138" t="inlineStr">
        <is>
          <t>Sample out-of-scope items: payroll processing, third-party integrations, mobile application. For demonstration purposes only.</t>
        </is>
      </c>
    </row>
    <row r="13">
      <c r="B13" s="160" t="n"/>
      <c r="C13" s="160" t="n"/>
    </row>
    <row r="14">
      <c r="B14" s="160" t="n"/>
      <c r="C14" s="160" t="n"/>
    </row>
    <row r="15">
      <c r="B15" s="160" t="n"/>
      <c r="C15" s="160" t="n"/>
    </row>
    <row r="16">
      <c r="B16" s="160" t="n"/>
      <c r="C16" s="160" t="n"/>
    </row>
    <row r="17">
      <c r="B17" s="160" t="n"/>
      <c r="C17" s="160" t="n"/>
    </row>
    <row r="18">
      <c r="B18" s="160" t="n"/>
      <c r="C18" s="160" t="n"/>
    </row>
    <row r="19">
      <c r="B19" s="161" t="n"/>
      <c r="C19" s="161" t="n"/>
    </row>
  </sheetData>
  <mergeCells count="5">
    <mergeCell ref="C7:C11"/>
    <mergeCell ref="B12:B19"/>
    <mergeCell ref="C12:C19"/>
    <mergeCell ref="B7:B11"/>
    <mergeCell ref="B1:C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5"/>
  <sheetViews>
    <sheetView zoomScaleNormal="100" workbookViewId="0">
      <selection activeCell="F21" sqref="F21"/>
    </sheetView>
  </sheetViews>
  <sheetFormatPr baseColWidth="8" defaultColWidth="8.81640625" defaultRowHeight="15"/>
  <cols>
    <col width="8.81640625" customWidth="1" style="6" min="1" max="1"/>
    <col width="6.26953125" customWidth="1" style="7" min="2" max="2"/>
    <col width="66.7265625" customWidth="1" style="6" min="3" max="3"/>
    <col width="8.81640625" customWidth="1" style="6" min="4" max="16384"/>
  </cols>
  <sheetData>
    <row r="1" ht="20.25" customHeight="1">
      <c r="B1" s="8" t="inlineStr">
        <is>
          <t>No.</t>
        </is>
      </c>
      <c r="C1" s="8" t="inlineStr">
        <is>
          <t>Function Name</t>
        </is>
      </c>
    </row>
    <row r="2" ht="20.25" customHeight="1">
      <c r="B2" s="9" t="n">
        <v>1</v>
      </c>
      <c r="C2" s="9" t="inlineStr">
        <is>
          <t>Sample User Login</t>
        </is>
      </c>
    </row>
    <row r="3" ht="20.25" customHeight="1">
      <c r="B3" s="9" t="n">
        <v>2</v>
      </c>
      <c r="C3" s="9" t="inlineStr">
        <is>
          <t>Sample User Registration</t>
        </is>
      </c>
    </row>
    <row r="4" ht="20.25" customHeight="1">
      <c r="B4" s="9" t="n">
        <v>3</v>
      </c>
      <c r="C4" s="10" t="inlineStr">
        <is>
          <t>Sample Profile Management</t>
        </is>
      </c>
    </row>
    <row r="5" ht="20.25" customHeight="1">
      <c r="B5" s="9" t="n">
        <v>4</v>
      </c>
      <c r="C5" s="9" t="inlineStr">
        <is>
          <t>Sample Role &amp; Permission Setup</t>
        </is>
      </c>
    </row>
    <row r="6" ht="20.25" customHeight="1">
      <c r="B6" s="9" t="n">
        <v>5</v>
      </c>
      <c r="C6" s="9" t="inlineStr">
        <is>
          <t>Sample Department Master</t>
        </is>
      </c>
    </row>
    <row r="7" ht="20.25" customHeight="1">
      <c r="B7" s="9" t="n">
        <v>6</v>
      </c>
      <c r="C7" s="9" t="inlineStr">
        <is>
          <t>Sample Item Master</t>
        </is>
      </c>
    </row>
    <row r="8" ht="20.25" customHeight="1">
      <c r="B8" s="9" t="n">
        <v>7</v>
      </c>
      <c r="C8" s="9" t="inlineStr">
        <is>
          <t>Sample Data Import</t>
        </is>
      </c>
    </row>
    <row r="9" ht="20.25" customHeight="1">
      <c r="B9" s="9" t="n">
        <v>8</v>
      </c>
      <c r="C9" s="9" t="inlineStr">
        <is>
          <t>Sample Data Export</t>
        </is>
      </c>
    </row>
    <row r="10" ht="20.25" customHeight="1">
      <c r="B10" s="9" t="n">
        <v>9</v>
      </c>
      <c r="C10" s="9" t="inlineStr">
        <is>
          <t>Sample Record Search</t>
        </is>
      </c>
    </row>
    <row r="11" ht="20.25" customHeight="1">
      <c r="B11" s="9" t="n">
        <v>10</v>
      </c>
      <c r="C11" s="9" t="inlineStr">
        <is>
          <t>Sample Record Approval Flow</t>
        </is>
      </c>
    </row>
    <row r="12" ht="20.25" customHeight="1">
      <c r="B12" s="9" t="n">
        <v>11</v>
      </c>
      <c r="C12" s="9" t="inlineStr">
        <is>
          <t>Sample Record Rejection Flow</t>
        </is>
      </c>
    </row>
    <row r="13" ht="20.25" customHeight="1">
      <c r="B13" s="9" t="n">
        <v>12</v>
      </c>
      <c r="C13" s="9" t="inlineStr">
        <is>
          <t>Sample Status Dashboard</t>
        </is>
      </c>
    </row>
    <row r="14" ht="20.25" customHeight="1">
      <c r="B14" s="9" t="n">
        <v>13</v>
      </c>
      <c r="C14" s="9" t="inlineStr">
        <is>
          <t>Sample Calendar Master</t>
        </is>
      </c>
    </row>
    <row r="15" ht="20.25" customHeight="1">
      <c r="B15" s="9" t="n">
        <v>14</v>
      </c>
      <c r="C15" s="9" t="inlineStr">
        <is>
          <t>Sample Notification Setting</t>
        </is>
      </c>
    </row>
    <row r="16" ht="34.5" customHeight="1">
      <c r="B16" s="9" t="n">
        <v>15</v>
      </c>
      <c r="C16" s="10" t="inlineStr">
        <is>
          <t>Sample Activity Log</t>
        </is>
      </c>
    </row>
    <row r="17" ht="20.25" customHeight="1">
      <c r="B17" s="9" t="n">
        <v>16</v>
      </c>
      <c r="C17" s="9" t="inlineStr">
        <is>
          <t>Sample Report Generation (CSV/PDF)</t>
        </is>
      </c>
    </row>
    <row r="18" ht="20.25" customHeight="1">
      <c r="B18" s="9" t="n">
        <v>17</v>
      </c>
      <c r="C18" s="11" t="inlineStr">
        <is>
          <t>Sample Summary Report</t>
        </is>
      </c>
    </row>
    <row r="19" ht="20.25" customHeight="1">
      <c r="B19" s="9" t="n">
        <v>18</v>
      </c>
      <c r="C19" s="11" t="inlineStr">
        <is>
          <t>Sample Account Settings</t>
        </is>
      </c>
    </row>
    <row r="20" ht="20.25" customHeight="1">
      <c r="B20" s="9" t="n">
        <v>19</v>
      </c>
      <c r="C20" s="9" t="inlineStr">
        <is>
          <t>Sample Password Reset</t>
        </is>
      </c>
    </row>
    <row r="21" ht="20.25" customHeight="1">
      <c r="B21" s="9" t="n">
        <v>20</v>
      </c>
      <c r="C21" s="9" t="inlineStr">
        <is>
          <t>Sample Announcement Board</t>
        </is>
      </c>
    </row>
    <row r="22" ht="20.25" customHeight="1">
      <c r="B22" s="9" t="n">
        <v>21</v>
      </c>
      <c r="C22" s="12" t="inlineStr">
        <is>
          <t>Sample Health Monitoring</t>
        </is>
      </c>
    </row>
    <row r="23" ht="20.25" customHeight="1">
      <c r="B23" s="9" t="n">
        <v>22</v>
      </c>
      <c r="C23" s="12" t="inlineStr">
        <is>
          <t>Sample Admin Dashboard</t>
        </is>
      </c>
    </row>
    <row r="24" ht="20.25" customHeight="1">
      <c r="B24" s="9" t="n">
        <v>23</v>
      </c>
      <c r="C24" s="12" t="inlineStr">
        <is>
          <t>Sample Audit Trail</t>
        </is>
      </c>
    </row>
    <row r="25" ht="20.25" customHeight="1">
      <c r="B25" s="9" t="n">
        <v>24</v>
      </c>
      <c r="C25" s="12" t="inlineStr">
        <is>
          <t>Sample System Configuration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B1:F20"/>
  <sheetViews>
    <sheetView zoomScaleNormal="100" workbookViewId="0">
      <selection activeCell="E15" sqref="E15"/>
    </sheetView>
  </sheetViews>
  <sheetFormatPr baseColWidth="8" defaultColWidth="8.7265625" defaultRowHeight="14.5"/>
  <cols>
    <col width="8.7265625" customWidth="1" style="13" min="1" max="1"/>
    <col width="38.81640625" customWidth="1" style="13" min="2" max="2"/>
    <col width="16.453125" customWidth="1" style="14" min="3" max="3"/>
    <col width="8.7265625" customWidth="1" style="13" min="4" max="16384"/>
  </cols>
  <sheetData>
    <row r="1">
      <c r="C1" s="15" t="inlineStr">
        <is>
          <t>全総概算工数</t>
        </is>
      </c>
    </row>
    <row r="2" ht="16.5" customHeight="1">
      <c r="B2" s="16" t="inlineStr">
        <is>
          <t>Overall Estimation Create</t>
        </is>
      </c>
      <c r="C2" s="17" t="n">
        <v>8</v>
      </c>
    </row>
    <row r="3" ht="16.5" customHeight="1">
      <c r="B3" s="16" t="inlineStr">
        <is>
          <t>Development</t>
        </is>
      </c>
      <c r="C3" s="18">
        <f>ALL_Detail!AD15</f>
        <v/>
      </c>
    </row>
    <row r="4" ht="16.5" customHeight="1">
      <c r="B4" s="19" t="inlineStr">
        <is>
          <t>Testing + UAT Server Setup(Infra)</t>
        </is>
      </c>
      <c r="C4" s="17" t="n">
        <v>40</v>
      </c>
    </row>
    <row r="5" ht="16.5" customHeight="1">
      <c r="B5" s="20" t="inlineStr">
        <is>
          <t>Production Server Setting(Infra)</t>
        </is>
      </c>
      <c r="C5" s="17" t="n">
        <v>24</v>
      </c>
    </row>
    <row r="6" ht="16.5" customHeight="1">
      <c r="B6" s="21" t="inlineStr">
        <is>
          <t>Deployment</t>
        </is>
      </c>
      <c r="C6" s="17" t="n">
        <v>16</v>
      </c>
    </row>
    <row r="7" ht="16.5" customHeight="1">
      <c r="B7" s="16" t="inlineStr">
        <is>
          <t>Training</t>
        </is>
      </c>
      <c r="C7" s="17" t="n">
        <v>16</v>
      </c>
      <c r="F7" s="22" t="n"/>
    </row>
    <row r="8" ht="16.5" customHeight="1">
      <c r="B8" s="21" t="inlineStr">
        <is>
          <t>Operations Support</t>
        </is>
      </c>
      <c r="C8" s="17" t="n">
        <v>24</v>
      </c>
    </row>
    <row r="9" ht="16.5" customHeight="1">
      <c r="B9" s="16" t="inlineStr">
        <is>
          <t>Maintenance Activities</t>
        </is>
      </c>
      <c r="C9" s="17" t="n">
        <v>40</v>
      </c>
    </row>
    <row r="10" ht="16.5" customHeight="1">
      <c r="B10" s="16" t="inlineStr">
        <is>
          <t>Sample Device Test 1</t>
        </is>
      </c>
      <c r="C10" s="17" t="n">
        <v>16</v>
      </c>
    </row>
    <row r="11" ht="16.5" customHeight="1">
      <c r="B11" s="16" t="inlineStr">
        <is>
          <t>Sample Device Test 2</t>
        </is>
      </c>
      <c r="C11" s="17" t="n">
        <v>16</v>
      </c>
      <c r="E11" s="22" t="n"/>
    </row>
    <row r="12" ht="16.5" customHeight="1">
      <c r="B12" s="16" t="inlineStr">
        <is>
          <t>Sample Device Test 3</t>
        </is>
      </c>
      <c r="C12" s="17" t="n">
        <v>16</v>
      </c>
    </row>
    <row r="13" ht="16.5" customHeight="1">
      <c r="B13" s="23" t="n"/>
      <c r="C13" s="18" t="n"/>
    </row>
    <row r="14" ht="15" customHeight="1">
      <c r="B14" s="24" t="n"/>
      <c r="C14" s="25" t="n"/>
    </row>
    <row r="15">
      <c r="B15" s="26" t="inlineStr">
        <is>
          <t>トータル(hr/1person)</t>
        </is>
      </c>
      <c r="C15" s="27">
        <f>SUM(C2:C14)</f>
        <v/>
      </c>
      <c r="E15" s="28" t="n"/>
      <c r="F15" s="28" t="n"/>
    </row>
    <row r="16">
      <c r="B16" s="29" t="inlineStr">
        <is>
          <t>トータル(days/1person)</t>
        </is>
      </c>
      <c r="C16" s="30">
        <f>C15/8</f>
        <v/>
      </c>
    </row>
    <row r="17" ht="15" customHeight="1">
      <c r="B17" s="31" t="inlineStr">
        <is>
          <t>トータル(month/1person)</t>
        </is>
      </c>
      <c r="C17" s="32">
        <f>C16/20</f>
        <v/>
      </c>
    </row>
    <row r="19">
      <c r="C19" s="33" t="n"/>
      <c r="D19" s="22" t="n"/>
    </row>
    <row r="20">
      <c r="B20" s="34" t="n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4"/>
  <sheetViews>
    <sheetView tabSelected="1" zoomScaleNormal="10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B11" sqref="B11"/>
    </sheetView>
  </sheetViews>
  <sheetFormatPr baseColWidth="8" defaultColWidth="8.7265625" defaultRowHeight="14.5"/>
  <cols>
    <col width="7.26953125" customWidth="1" style="13" min="1" max="1"/>
    <col width="45.453125" customWidth="1" style="13" min="2" max="2"/>
    <col width="9.08984375" customWidth="1" style="13" min="3" max="3"/>
    <col width="9.453125" customWidth="1" style="13" min="4" max="5"/>
    <col width="11.26953125" customWidth="1" style="13" min="6" max="6"/>
    <col width="9.453125" customWidth="1" style="13" min="7" max="7"/>
    <col width="8.26953125" customWidth="1" style="13" min="8" max="9"/>
    <col width="9.26953125" customWidth="1" style="13" min="10" max="10"/>
    <col width="8.26953125" customWidth="1" style="13" min="11" max="15"/>
    <col width="9.453125" customWidth="1" style="13" min="16" max="16"/>
    <col width="11" customWidth="1" style="13" min="17" max="18"/>
    <col width="10.26953125" customWidth="1" style="13" min="19" max="19"/>
    <col width="8.81640625" customWidth="1" style="13" min="20" max="20"/>
    <col width="9.453125" customWidth="1" style="13" min="21" max="21"/>
    <col width="11.81640625" customWidth="1" style="13" min="22" max="22"/>
    <col width="9.453125" customWidth="1" style="13" min="23" max="23"/>
    <col width="13.7265625" customWidth="1" style="13" min="24" max="24"/>
    <col width="12" customWidth="1" style="13" min="25" max="25"/>
    <col width="11" customWidth="1" style="13" min="26" max="26"/>
    <col width="10.453125" customWidth="1" style="13" min="27" max="27"/>
    <col width="11" customWidth="1" style="13" min="28" max="29"/>
    <col width="10.08984375" customWidth="1" style="13" min="30" max="30"/>
    <col width="8.7265625" customWidth="1" style="13" min="31" max="16384"/>
  </cols>
  <sheetData>
    <row r="1" ht="26.25" customHeight="1">
      <c r="E1" s="35" t="inlineStr">
        <is>
          <t>開発の</t>
        </is>
      </c>
      <c r="F1" s="35" t="inlineStr">
        <is>
          <t>開発の</t>
        </is>
      </c>
      <c r="G1" s="35" t="inlineStr">
        <is>
          <t>要件定義の</t>
        </is>
      </c>
      <c r="H1" s="35" t="inlineStr">
        <is>
          <t>開発の</t>
        </is>
      </c>
      <c r="I1" s="35" t="inlineStr">
        <is>
          <t>業務フローの</t>
        </is>
      </c>
      <c r="J1" s="35" t="inlineStr">
        <is>
          <t>開発の</t>
        </is>
      </c>
      <c r="K1" s="36" t="inlineStr">
        <is>
          <t>ER図の</t>
        </is>
      </c>
      <c r="L1" s="35" t="inlineStr">
        <is>
          <t>開発の</t>
        </is>
      </c>
      <c r="M1" s="36" t="inlineStr">
        <is>
          <t>DFDの</t>
        </is>
      </c>
      <c r="N1" s="36" t="inlineStr">
        <is>
          <t>ER図(の</t>
        </is>
      </c>
      <c r="O1" s="36" t="inlineStr">
        <is>
          <t>DB設計の</t>
        </is>
      </c>
      <c r="P1" s="35" t="inlineStr">
        <is>
          <t>開発の</t>
        </is>
      </c>
      <c r="Q1" s="35" t="inlineStr">
        <is>
          <t>基本設計書の</t>
        </is>
      </c>
      <c r="R1" s="35" t="inlineStr">
        <is>
          <t>設計書の</t>
        </is>
      </c>
      <c r="S1" s="35" t="inlineStr">
        <is>
          <t>単体テスト仕様書の</t>
        </is>
      </c>
      <c r="T1" s="35" t="inlineStr">
        <is>
          <t>開発の</t>
        </is>
      </c>
      <c r="U1" s="35" t="inlineStr">
        <is>
          <t>設計書の</t>
        </is>
      </c>
      <c r="V1" s="35" t="inlineStr">
        <is>
          <t>結合テスト仕様書の</t>
        </is>
      </c>
      <c r="W1" s="35" t="inlineStr">
        <is>
          <t>開発の</t>
        </is>
      </c>
      <c r="X1" s="35" t="inlineStr">
        <is>
          <t>開発の</t>
        </is>
      </c>
      <c r="Y1" s="35" t="inlineStr">
        <is>
          <t>開発の</t>
        </is>
      </c>
      <c r="Z1" s="35" t="inlineStr">
        <is>
          <t>開発の</t>
        </is>
      </c>
      <c r="AA1" s="35" t="inlineStr">
        <is>
          <t>開発の</t>
        </is>
      </c>
      <c r="AB1" s="35" t="inlineStr">
        <is>
          <t>開発～総合の</t>
        </is>
      </c>
      <c r="AC1" s="35" t="inlineStr">
        <is>
          <t>開発～総合の</t>
        </is>
      </c>
    </row>
    <row r="2" ht="15" customHeight="1">
      <c r="E2" s="37" t="n">
        <v>0.07000000000000001</v>
      </c>
      <c r="F2" s="37" t="n">
        <v>0.15</v>
      </c>
      <c r="G2" s="37" t="n">
        <v>0.05</v>
      </c>
      <c r="H2" s="37" t="n">
        <v>0.04</v>
      </c>
      <c r="I2" s="37" t="n">
        <v>0.2</v>
      </c>
      <c r="J2" s="37" t="n">
        <v>0.03</v>
      </c>
      <c r="K2" s="37" t="n">
        <v>0.02</v>
      </c>
      <c r="L2" s="37" t="n">
        <v>0</v>
      </c>
      <c r="M2" s="37" t="n">
        <v>0</v>
      </c>
      <c r="N2" s="37" t="n">
        <v>0.2</v>
      </c>
      <c r="O2" s="37" t="n">
        <v>0.2</v>
      </c>
      <c r="P2" s="37" t="n">
        <v>0.4</v>
      </c>
      <c r="Q2" s="37" t="n">
        <v>0.15</v>
      </c>
      <c r="R2" s="37" t="n">
        <v>0.7</v>
      </c>
      <c r="S2" s="37" t="n">
        <v>0.15</v>
      </c>
      <c r="T2" s="37" t="n">
        <v>0.4</v>
      </c>
      <c r="U2" s="37" t="n">
        <v>0.35</v>
      </c>
      <c r="V2" s="37" t="n">
        <v>0.25</v>
      </c>
      <c r="W2" s="37" t="n">
        <v>0.4</v>
      </c>
      <c r="X2" s="37" t="n">
        <v>0.25</v>
      </c>
      <c r="Y2" s="37" t="n">
        <v>0</v>
      </c>
      <c r="Z2" s="37" t="n">
        <v>0.05</v>
      </c>
      <c r="AA2" s="37" t="n">
        <v>0.05</v>
      </c>
      <c r="AB2" s="37" t="n">
        <v>0.05</v>
      </c>
      <c r="AC2" s="37" t="n">
        <v>0.15</v>
      </c>
    </row>
    <row r="3" ht="45" customHeight="1">
      <c r="E3" s="38" t="n"/>
      <c r="F3" s="146" t="inlineStr">
        <is>
          <t>要件定義
Requirement definition</t>
        </is>
      </c>
      <c r="G3" s="123" t="n"/>
      <c r="H3" s="146" t="inlineStr">
        <is>
          <t>基本全体設計
Basic overall design</t>
        </is>
      </c>
      <c r="I3" s="162" t="n"/>
      <c r="J3" s="162" t="n"/>
      <c r="K3" s="162" t="n"/>
      <c r="L3" s="162" t="n"/>
      <c r="M3" s="162" t="n"/>
      <c r="N3" s="162" t="n"/>
      <c r="O3" s="123" t="n"/>
      <c r="P3" s="146" t="inlineStr">
        <is>
          <t>基本設計
basic design</t>
        </is>
      </c>
      <c r="Q3" s="123" t="n"/>
      <c r="R3" s="147" t="inlineStr">
        <is>
          <t xml:space="preserve">単体テスト
unit test
</t>
        </is>
      </c>
      <c r="S3" s="162" t="n"/>
      <c r="T3" s="123" t="n"/>
      <c r="U3" s="147" t="inlineStr">
        <is>
          <t xml:space="preserve">結合テスト
Combined test </t>
        </is>
      </c>
      <c r="V3" s="162" t="n"/>
      <c r="W3" s="123" t="n"/>
      <c r="X3" s="39" t="inlineStr">
        <is>
          <t>総合テスト
Comprehensive test</t>
        </is>
      </c>
      <c r="Y3" s="40" t="n"/>
      <c r="Z3" s="41" t="n"/>
      <c r="AA3" s="141" t="n"/>
      <c r="AB3" s="163" t="n"/>
      <c r="AC3" s="163" t="n"/>
    </row>
    <row r="4" ht="72" customHeight="1">
      <c r="A4" s="42" t="inlineStr">
        <is>
          <t>ID</t>
        </is>
      </c>
      <c r="B4" s="42" t="inlineStr">
        <is>
          <t>Function</t>
        </is>
      </c>
      <c r="C4" s="42" t="inlineStr">
        <is>
          <t>Status</t>
        </is>
      </c>
      <c r="D4" s="43" t="inlineStr">
        <is>
          <t xml:space="preserve">
Development man-hours (h)
</t>
        </is>
      </c>
      <c r="E4" s="44" t="inlineStr">
        <is>
          <t xml:space="preserve">
Code review (h)</t>
        </is>
      </c>
      <c r="F4" s="45" t="inlineStr">
        <is>
          <t>Prototype(h)</t>
        </is>
      </c>
      <c r="G4" s="45" t="inlineStr">
        <is>
          <t>PrototypeReview(h)</t>
        </is>
      </c>
      <c r="H4" s="45" t="inlineStr">
        <is>
          <t xml:space="preserve">
Business flow(h)</t>
        </is>
      </c>
      <c r="I4" s="45" t="inlineStr">
        <is>
          <t xml:space="preserve">
Business flow Review
(h)</t>
        </is>
      </c>
      <c r="J4" s="45" t="inlineStr">
        <is>
          <t>ERD(h)</t>
        </is>
      </c>
      <c r="K4" s="45" t="inlineStr">
        <is>
          <t>ERD Review(h)</t>
        </is>
      </c>
      <c r="L4" s="45" t="inlineStr">
        <is>
          <t>DFD(h)</t>
        </is>
      </c>
      <c r="M4" s="45" t="inlineStr">
        <is>
          <t>DFD Review(h)</t>
        </is>
      </c>
      <c r="N4" s="45" t="inlineStr">
        <is>
          <t xml:space="preserve">
DB Design(h)</t>
        </is>
      </c>
      <c r="O4" s="45" t="inlineStr">
        <is>
          <t xml:space="preserve">
DB Design Review(h)</t>
        </is>
      </c>
      <c r="P4" s="45" t="inlineStr">
        <is>
          <t>Screen/Form/Function (h)</t>
        </is>
      </c>
      <c r="Q4" s="45" t="inlineStr">
        <is>
          <t>Review(h)</t>
        </is>
      </c>
      <c r="R4" s="46" t="inlineStr">
        <is>
          <t xml:space="preserve">
Test Specification(h)</t>
        </is>
      </c>
      <c r="S4" s="46" t="inlineStr">
        <is>
          <t>Review(h)</t>
        </is>
      </c>
      <c r="T4" s="46" t="inlineStr">
        <is>
          <t xml:space="preserve">
Implementation
(h)</t>
        </is>
      </c>
      <c r="U4" s="47" t="inlineStr">
        <is>
          <t>テスト仕様書(h)
Test Specification</t>
        </is>
      </c>
      <c r="V4" s="47" t="inlineStr">
        <is>
          <t>レビュー(h)</t>
        </is>
      </c>
      <c r="W4" s="47" t="inlineStr">
        <is>
          <t>実施(h)
Implementation</t>
        </is>
      </c>
      <c r="X4" s="47" t="inlineStr">
        <is>
          <t>実施(h)
Implementation</t>
        </is>
      </c>
      <c r="Y4" s="47" t="inlineStr">
        <is>
          <t>テストデータ作成(h)
Test Data Creation</t>
        </is>
      </c>
      <c r="Z4" s="48" t="inlineStr">
        <is>
          <t>マニュアル作成(h)
User Manual</t>
        </is>
      </c>
      <c r="AA4" s="49" t="inlineStr">
        <is>
          <t>付帯作業(h)
Accidental Work</t>
        </is>
      </c>
      <c r="AB4" s="50" t="inlineStr">
        <is>
          <t>リスク(h)</t>
        </is>
      </c>
      <c r="AC4" s="51" t="inlineStr">
        <is>
          <t>管理工数(h)
Management Manhours</t>
        </is>
      </c>
      <c r="AD4" s="52" t="inlineStr">
        <is>
          <t>Total(h)</t>
        </is>
      </c>
    </row>
    <row r="5" ht="24.75" customHeight="1">
      <c r="A5" s="53" t="n">
        <v>1</v>
      </c>
      <c r="B5" s="24" t="inlineStr">
        <is>
          <t>Sample User Login</t>
        </is>
      </c>
      <c r="C5" s="54" t="inlineStr">
        <is>
          <t>小</t>
        </is>
      </c>
      <c r="D5" s="55" t="n">
        <v>8</v>
      </c>
      <c r="E5" s="56">
        <f>D5*E2</f>
        <v/>
      </c>
      <c r="F5" s="57">
        <f>D5*F2</f>
        <v/>
      </c>
      <c r="G5" s="57">
        <f>F5*G2</f>
        <v/>
      </c>
      <c r="H5" s="57">
        <f>D5*H2</f>
        <v/>
      </c>
      <c r="I5" s="56">
        <f>H5*I2</f>
        <v/>
      </c>
      <c r="J5" s="56">
        <f>D5*J2</f>
        <v/>
      </c>
      <c r="K5" s="56">
        <f>J5*K2</f>
        <v/>
      </c>
      <c r="L5" s="56">
        <f>D5*L2</f>
        <v/>
      </c>
      <c r="M5" s="56">
        <f>L5*M2</f>
        <v/>
      </c>
      <c r="N5" s="57">
        <f>J5*N2</f>
        <v/>
      </c>
      <c r="O5" s="56">
        <f>N5*O2</f>
        <v/>
      </c>
      <c r="P5" s="57">
        <f>D5*P2</f>
        <v/>
      </c>
      <c r="Q5" s="57">
        <f>P5*Q2</f>
        <v/>
      </c>
      <c r="R5" s="57">
        <f>P5*R2</f>
        <v/>
      </c>
      <c r="S5" s="57">
        <f>R5*S2</f>
        <v/>
      </c>
      <c r="T5" s="57">
        <f>D5*T2</f>
        <v/>
      </c>
      <c r="U5" s="57">
        <f>P5*U2</f>
        <v/>
      </c>
      <c r="V5" s="57">
        <f>U5*V2</f>
        <v/>
      </c>
      <c r="W5" s="57">
        <f>D5*W2</f>
        <v/>
      </c>
      <c r="X5" s="57">
        <f>D5*X2</f>
        <v/>
      </c>
      <c r="Y5" s="57">
        <f>D5*Y2</f>
        <v/>
      </c>
      <c r="Z5" s="57">
        <f>D5*Z2</f>
        <v/>
      </c>
      <c r="AA5" s="57">
        <f>D5*AA2</f>
        <v/>
      </c>
      <c r="AB5" s="57">
        <f>(D5+H5+J5+L5+N5+P5+R5+U5+W5+F5+X5+AA47)*AB2</f>
        <v/>
      </c>
      <c r="AC5" s="57">
        <f>SUM(D5:Z5)*AC2</f>
        <v/>
      </c>
      <c r="AD5" s="57">
        <f>SUM(D5:AC5)</f>
        <v/>
      </c>
    </row>
    <row r="6" ht="24.75" customHeight="1">
      <c r="A6" s="53" t="n">
        <v>2</v>
      </c>
      <c r="B6" s="24" t="inlineStr">
        <is>
          <t>Sample User Registration</t>
        </is>
      </c>
      <c r="C6" s="54" t="inlineStr">
        <is>
          <t>中</t>
        </is>
      </c>
      <c r="D6" s="55" t="n">
        <v>16</v>
      </c>
      <c r="E6" s="56">
        <f>D6*E$2</f>
        <v/>
      </c>
      <c r="F6" s="57">
        <f>D6*F$2</f>
        <v/>
      </c>
      <c r="G6" s="57">
        <f>F6*G$2</f>
        <v/>
      </c>
      <c r="H6" s="57">
        <f>D6*H$2</f>
        <v/>
      </c>
      <c r="I6" s="56">
        <f>H6*I$2</f>
        <v/>
      </c>
      <c r="J6" s="56">
        <f>D6*J$2</f>
        <v/>
      </c>
      <c r="K6" s="56">
        <f>J6*K$2</f>
        <v/>
      </c>
      <c r="L6" s="56">
        <f>D6*L$2</f>
        <v/>
      </c>
      <c r="M6" s="56">
        <f>L6*M$2</f>
        <v/>
      </c>
      <c r="N6" s="57">
        <f>J6*N$2</f>
        <v/>
      </c>
      <c r="O6" s="56">
        <f>N6*O$2</f>
        <v/>
      </c>
      <c r="P6" s="57">
        <f>D6*P$2</f>
        <v/>
      </c>
      <c r="Q6" s="57">
        <f>P6*Q$2</f>
        <v/>
      </c>
      <c r="R6" s="57">
        <f>P6*R$2</f>
        <v/>
      </c>
      <c r="S6" s="57">
        <f>R6*S$2</f>
        <v/>
      </c>
      <c r="T6" s="57">
        <f>D6*T$2</f>
        <v/>
      </c>
      <c r="U6" s="57">
        <f>P6*U$2</f>
        <v/>
      </c>
      <c r="V6" s="57">
        <f>U6*V$2</f>
        <v/>
      </c>
      <c r="W6" s="57">
        <f>D6*W$2</f>
        <v/>
      </c>
      <c r="X6" s="57">
        <f>D6*X$2</f>
        <v/>
      </c>
      <c r="Y6" s="57">
        <f>D6*Y$2</f>
        <v/>
      </c>
      <c r="Z6" s="57">
        <f>D6*Z$2</f>
        <v/>
      </c>
      <c r="AA6" s="57">
        <f>D6*AA$2</f>
        <v/>
      </c>
      <c r="AB6" s="57">
        <f>(D6+H6+J6+L6+N6+P6+R6+U6+W6+F6+X6+AA6)*AB$2</f>
        <v/>
      </c>
      <c r="AC6" s="57">
        <f>SUM(D6:Z6)*AC$2</f>
        <v/>
      </c>
      <c r="AD6" s="57">
        <f>SUM(D6:AC6)</f>
        <v/>
      </c>
    </row>
    <row r="7" ht="24.75" customHeight="1">
      <c r="A7" s="53" t="n">
        <v>3</v>
      </c>
      <c r="B7" s="58" t="inlineStr">
        <is>
          <t>Sample Profile Management</t>
        </is>
      </c>
      <c r="C7" s="54" t="inlineStr">
        <is>
          <t>中</t>
        </is>
      </c>
      <c r="D7" s="55" t="n">
        <v>24</v>
      </c>
      <c r="E7" s="56">
        <f>D7*E$2</f>
        <v/>
      </c>
      <c r="F7" s="57">
        <f>D7*F$2</f>
        <v/>
      </c>
      <c r="G7" s="57">
        <f>F7*G$2</f>
        <v/>
      </c>
      <c r="H7" s="57">
        <f>D7*H$2</f>
        <v/>
      </c>
      <c r="I7" s="56">
        <f>H7*I$2</f>
        <v/>
      </c>
      <c r="J7" s="56">
        <f>D7*J$2</f>
        <v/>
      </c>
      <c r="K7" s="56">
        <f>J7*K$2</f>
        <v/>
      </c>
      <c r="L7" s="56">
        <f>D7*L$2</f>
        <v/>
      </c>
      <c r="M7" s="56">
        <f>L7*M$2</f>
        <v/>
      </c>
      <c r="N7" s="57">
        <f>J7*N$2</f>
        <v/>
      </c>
      <c r="O7" s="56">
        <f>N7*O$2</f>
        <v/>
      </c>
      <c r="P7" s="57">
        <f>D7*P$2</f>
        <v/>
      </c>
      <c r="Q7" s="57">
        <f>P7*Q$2</f>
        <v/>
      </c>
      <c r="R7" s="57">
        <f>P7*R$2</f>
        <v/>
      </c>
      <c r="S7" s="57">
        <f>R7*S$2</f>
        <v/>
      </c>
      <c r="T7" s="57">
        <f>D7*T$2</f>
        <v/>
      </c>
      <c r="U7" s="57">
        <f>P7*U$2</f>
        <v/>
      </c>
      <c r="V7" s="57">
        <f>U7*V$2</f>
        <v/>
      </c>
      <c r="W7" s="57">
        <f>D7*W$2</f>
        <v/>
      </c>
      <c r="X7" s="57">
        <f>D7*X$2</f>
        <v/>
      </c>
      <c r="Y7" s="57">
        <f>D7*Y$2</f>
        <v/>
      </c>
      <c r="Z7" s="57">
        <f>D7*Z$2</f>
        <v/>
      </c>
      <c r="AA7" s="57">
        <f>D7*AA$2</f>
        <v/>
      </c>
      <c r="AB7" s="57">
        <f>(D7+H7+J7+L7+N7+P7+R7+U7+W7+F7+X7+AA7)*AB$2</f>
        <v/>
      </c>
      <c r="AC7" s="57">
        <f>SUM(D7:Z7)*AC$2</f>
        <v/>
      </c>
      <c r="AD7" s="57">
        <f>SUM(D7:AC7)</f>
        <v/>
      </c>
    </row>
    <row r="8" ht="24.75" customHeight="1">
      <c r="A8" s="53" t="n">
        <v>4</v>
      </c>
      <c r="B8" s="24" t="inlineStr">
        <is>
          <t>Sample Role &amp; Permission Setup</t>
        </is>
      </c>
      <c r="C8" s="54" t="inlineStr">
        <is>
          <t>中</t>
        </is>
      </c>
      <c r="D8" s="55" t="n">
        <v>12</v>
      </c>
      <c r="E8" s="56">
        <f>D8*E$2</f>
        <v/>
      </c>
      <c r="F8" s="57">
        <f>D8*F$2</f>
        <v/>
      </c>
      <c r="G8" s="57">
        <f>F8*G$2</f>
        <v/>
      </c>
      <c r="H8" s="57">
        <f>D8*H$2</f>
        <v/>
      </c>
      <c r="I8" s="56">
        <f>H8*I$2</f>
        <v/>
      </c>
      <c r="J8" s="56">
        <f>D8*J$2</f>
        <v/>
      </c>
      <c r="K8" s="56">
        <f>J8*K$2</f>
        <v/>
      </c>
      <c r="L8" s="56">
        <f>D8*L$2</f>
        <v/>
      </c>
      <c r="M8" s="56">
        <f>L8*M$2</f>
        <v/>
      </c>
      <c r="N8" s="57">
        <f>J8*N$2</f>
        <v/>
      </c>
      <c r="O8" s="56">
        <f>N8*O$2</f>
        <v/>
      </c>
      <c r="P8" s="57">
        <f>D8*P$2</f>
        <v/>
      </c>
      <c r="Q8" s="57">
        <f>P8*Q$2</f>
        <v/>
      </c>
      <c r="R8" s="57">
        <f>P8*R$2</f>
        <v/>
      </c>
      <c r="S8" s="57">
        <f>R8*S$2</f>
        <v/>
      </c>
      <c r="T8" s="57">
        <f>D8*T$2</f>
        <v/>
      </c>
      <c r="U8" s="57">
        <f>P8*U$2</f>
        <v/>
      </c>
      <c r="V8" s="57">
        <f>U8*V$2</f>
        <v/>
      </c>
      <c r="W8" s="57">
        <f>D8*W$2</f>
        <v/>
      </c>
      <c r="X8" s="57">
        <f>D8*X$2</f>
        <v/>
      </c>
      <c r="Y8" s="57">
        <f>D8*Y$2</f>
        <v/>
      </c>
      <c r="Z8" s="57">
        <f>D8*Z$2</f>
        <v/>
      </c>
      <c r="AA8" s="57">
        <f>D8*AA$2</f>
        <v/>
      </c>
      <c r="AB8" s="57">
        <f>(D8+H8+J8+L8+N8+P8+R8+U8+W8+F8+X8+AA8)*AB$2</f>
        <v/>
      </c>
      <c r="AC8" s="57">
        <f>SUM(D8:Z8)*AC$2</f>
        <v/>
      </c>
      <c r="AD8" s="57">
        <f>SUM(D8:AC8)</f>
        <v/>
      </c>
    </row>
    <row r="9" ht="24.75" customHeight="1">
      <c r="A9" s="53" t="n">
        <v>5</v>
      </c>
      <c r="B9" s="24" t="inlineStr">
        <is>
          <t>Sample Department Master</t>
        </is>
      </c>
      <c r="C9" s="54" t="inlineStr">
        <is>
          <t>大</t>
        </is>
      </c>
      <c r="D9" s="55" t="n">
        <v>20</v>
      </c>
      <c r="E9" s="56">
        <f>D9*E$2</f>
        <v/>
      </c>
      <c r="F9" s="57">
        <f>D9*F$2</f>
        <v/>
      </c>
      <c r="G9" s="57">
        <f>F9*G$2</f>
        <v/>
      </c>
      <c r="H9" s="57">
        <f>D9*H$2</f>
        <v/>
      </c>
      <c r="I9" s="56">
        <f>H9*I$2</f>
        <v/>
      </c>
      <c r="J9" s="56">
        <f>D9*J$2</f>
        <v/>
      </c>
      <c r="K9" s="56">
        <f>J9*K$2</f>
        <v/>
      </c>
      <c r="L9" s="56">
        <f>D9*L$2</f>
        <v/>
      </c>
      <c r="M9" s="56">
        <f>L9*M$2</f>
        <v/>
      </c>
      <c r="N9" s="57">
        <f>J9*N$2</f>
        <v/>
      </c>
      <c r="O9" s="56">
        <f>N9*O$2</f>
        <v/>
      </c>
      <c r="P9" s="57">
        <f>D9*P$2</f>
        <v/>
      </c>
      <c r="Q9" s="57">
        <f>P9*Q$2</f>
        <v/>
      </c>
      <c r="R9" s="57">
        <f>P9*R$2</f>
        <v/>
      </c>
      <c r="S9" s="57">
        <f>R9*S$2</f>
        <v/>
      </c>
      <c r="T9" s="57">
        <f>D9*T$2</f>
        <v/>
      </c>
      <c r="U9" s="57">
        <f>P9*U$2</f>
        <v/>
      </c>
      <c r="V9" s="57">
        <f>U9*V$2</f>
        <v/>
      </c>
      <c r="W9" s="57">
        <f>D9*W$2</f>
        <v/>
      </c>
      <c r="X9" s="57">
        <f>D9*X$2</f>
        <v/>
      </c>
      <c r="Y9" s="57">
        <f>D9*Y$2</f>
        <v/>
      </c>
      <c r="Z9" s="57">
        <f>D9*Z$2</f>
        <v/>
      </c>
      <c r="AA9" s="57">
        <f>D9*AA$2</f>
        <v/>
      </c>
      <c r="AB9" s="57">
        <f>(D9+H9+J9+L9+N9+P9+R9+U9+W9+F9+X9+AA9)*AB$2</f>
        <v/>
      </c>
      <c r="AC9" s="57">
        <f>SUM(D9:Z9)*AC$2</f>
        <v/>
      </c>
      <c r="AD9" s="57">
        <f>SUM(D9:AC9)</f>
        <v/>
      </c>
    </row>
    <row r="10" ht="24.75" customHeight="1">
      <c r="A10" s="53" t="n">
        <v>6</v>
      </c>
      <c r="B10" s="24" t="inlineStr">
        <is>
          <t>Sample Item Master</t>
        </is>
      </c>
      <c r="C10" s="54" t="inlineStr">
        <is>
          <t>大</t>
        </is>
      </c>
      <c r="D10" s="55" t="n">
        <v>10</v>
      </c>
      <c r="E10" s="56">
        <f>D10*E$2</f>
        <v/>
      </c>
      <c r="F10" s="57">
        <f>D10*F$2</f>
        <v/>
      </c>
      <c r="G10" s="57">
        <f>F10*G$2</f>
        <v/>
      </c>
      <c r="H10" s="57">
        <f>D10*H$2</f>
        <v/>
      </c>
      <c r="I10" s="56">
        <f>H10*I$2</f>
        <v/>
      </c>
      <c r="J10" s="56">
        <f>D10*J$2</f>
        <v/>
      </c>
      <c r="K10" s="56">
        <f>J10*K$2</f>
        <v/>
      </c>
      <c r="L10" s="56">
        <f>D10*L$2</f>
        <v/>
      </c>
      <c r="M10" s="56">
        <f>L10*M$2</f>
        <v/>
      </c>
      <c r="N10" s="57">
        <f>J10*N$2</f>
        <v/>
      </c>
      <c r="O10" s="56">
        <f>N10*O$2</f>
        <v/>
      </c>
      <c r="P10" s="57">
        <f>D10*P$2</f>
        <v/>
      </c>
      <c r="Q10" s="57">
        <f>P10*Q$2</f>
        <v/>
      </c>
      <c r="R10" s="57">
        <f>P10*R$2</f>
        <v/>
      </c>
      <c r="S10" s="57">
        <f>R10*S$2</f>
        <v/>
      </c>
      <c r="T10" s="57">
        <f>D10*T$2</f>
        <v/>
      </c>
      <c r="U10" s="57">
        <f>P10*U$2</f>
        <v/>
      </c>
      <c r="V10" s="57">
        <f>U10*V$2</f>
        <v/>
      </c>
      <c r="W10" s="57">
        <f>D10*W$2</f>
        <v/>
      </c>
      <c r="X10" s="57">
        <f>D10*X$2</f>
        <v/>
      </c>
      <c r="Y10" s="57">
        <f>D10*Y$2</f>
        <v/>
      </c>
      <c r="Z10" s="57">
        <f>D10*Z$2</f>
        <v/>
      </c>
      <c r="AA10" s="57">
        <f>D10*AA$2</f>
        <v/>
      </c>
      <c r="AB10" s="57">
        <f>(D10+H10+J10+L10+N10+P10+R10+U10+W10+F10+X10+AA10)*AB$2</f>
        <v/>
      </c>
      <c r="AC10" s="57">
        <f>SUM(D10:Z10)*AC$2</f>
        <v/>
      </c>
      <c r="AD10" s="57">
        <f>SUM(D10:AC10)</f>
        <v/>
      </c>
    </row>
    <row r="11" ht="24.75" customHeight="1">
      <c r="A11" s="53" t="n">
        <v>7</v>
      </c>
      <c r="B11" s="24" t="inlineStr">
        <is>
          <t>Sample Data Import</t>
        </is>
      </c>
      <c r="C11" s="54" t="inlineStr">
        <is>
          <t>中</t>
        </is>
      </c>
      <c r="D11" s="55" t="n">
        <v>18</v>
      </c>
      <c r="E11" s="56">
        <f>D11*E$2</f>
        <v/>
      </c>
      <c r="F11" s="57">
        <f>D11*F$2</f>
        <v/>
      </c>
      <c r="G11" s="57">
        <f>F11*G$2</f>
        <v/>
      </c>
      <c r="H11" s="57">
        <f>D11*H$2</f>
        <v/>
      </c>
      <c r="I11" s="56">
        <f>H11*I$2</f>
        <v/>
      </c>
      <c r="J11" s="56">
        <f>D11*J$2</f>
        <v/>
      </c>
      <c r="K11" s="56">
        <f>J11*K$2</f>
        <v/>
      </c>
      <c r="L11" s="56">
        <f>D11*L$2</f>
        <v/>
      </c>
      <c r="M11" s="56">
        <f>L11*M$2</f>
        <v/>
      </c>
      <c r="N11" s="57">
        <f>J11*N$2</f>
        <v/>
      </c>
      <c r="O11" s="56">
        <f>N11*O$2</f>
        <v/>
      </c>
      <c r="P11" s="57">
        <f>D11*P$2</f>
        <v/>
      </c>
      <c r="Q11" s="57">
        <f>P11*Q$2</f>
        <v/>
      </c>
      <c r="R11" s="57">
        <f>P11*R$2</f>
        <v/>
      </c>
      <c r="S11" s="57">
        <f>R11*S$2</f>
        <v/>
      </c>
      <c r="T11" s="57">
        <f>D11*T$2</f>
        <v/>
      </c>
      <c r="U11" s="57">
        <f>P11*U$2</f>
        <v/>
      </c>
      <c r="V11" s="57">
        <f>U11*V$2</f>
        <v/>
      </c>
      <c r="W11" s="57">
        <f>D11*W$2</f>
        <v/>
      </c>
      <c r="X11" s="57">
        <f>D11*X$2</f>
        <v/>
      </c>
      <c r="Y11" s="57">
        <f>D11*Y$2</f>
        <v/>
      </c>
      <c r="Z11" s="57">
        <f>D11*Z$2</f>
        <v/>
      </c>
      <c r="AA11" s="57">
        <f>D11*AA$2</f>
        <v/>
      </c>
      <c r="AB11" s="57">
        <f>(D11+H11+J11+L11+N11+P11+R11+U11+W11+F11+X11+AA11)*AB$2</f>
        <v/>
      </c>
      <c r="AC11" s="57">
        <f>SUM(D11:Z11)*AC$2</f>
        <v/>
      </c>
      <c r="AD11" s="57">
        <f>SUM(D11:AC11)</f>
        <v/>
      </c>
    </row>
    <row r="12" ht="24.75" customHeight="1">
      <c r="A12" s="59" t="n">
        <v>8</v>
      </c>
      <c r="B12" s="60" t="inlineStr">
        <is>
          <t>Sample Data Export</t>
        </is>
      </c>
      <c r="C12" s="61" t="inlineStr">
        <is>
          <t>小</t>
        </is>
      </c>
      <c r="D12" s="55" t="n">
        <v>14</v>
      </c>
      <c r="E12" s="62">
        <f>D12*E$2</f>
        <v/>
      </c>
      <c r="F12" s="63">
        <f>D12*F$2</f>
        <v/>
      </c>
      <c r="G12" s="63">
        <f>F12*G$2</f>
        <v/>
      </c>
      <c r="H12" s="63">
        <f>D12*H$2</f>
        <v/>
      </c>
      <c r="I12" s="62">
        <f>H12*I$2</f>
        <v/>
      </c>
      <c r="J12" s="62">
        <f>D12*J$2</f>
        <v/>
      </c>
      <c r="K12" s="62">
        <f>J12*K$2</f>
        <v/>
      </c>
      <c r="L12" s="62">
        <f>D12*L$2</f>
        <v/>
      </c>
      <c r="M12" s="62">
        <f>L12*M$2</f>
        <v/>
      </c>
      <c r="N12" s="63">
        <f>J12*N$2</f>
        <v/>
      </c>
      <c r="O12" s="62">
        <f>N12*O$2</f>
        <v/>
      </c>
      <c r="P12" s="63">
        <f>D12*P$2</f>
        <v/>
      </c>
      <c r="Q12" s="63">
        <f>P12*Q$2</f>
        <v/>
      </c>
      <c r="R12" s="63">
        <f>P12*R$2</f>
        <v/>
      </c>
      <c r="S12" s="63">
        <f>R12*S$2</f>
        <v/>
      </c>
      <c r="T12" s="63">
        <f>D12*T$2</f>
        <v/>
      </c>
      <c r="U12" s="63">
        <f>P12*U$2</f>
        <v/>
      </c>
      <c r="V12" s="63">
        <f>U12*V$2</f>
        <v/>
      </c>
      <c r="W12" s="63">
        <f>D12*W$2</f>
        <v/>
      </c>
      <c r="X12" s="63">
        <f>D12*X$2</f>
        <v/>
      </c>
      <c r="Y12" s="63">
        <f>D12*Y$2</f>
        <v/>
      </c>
      <c r="Z12" s="63">
        <f>D12*Z$2</f>
        <v/>
      </c>
      <c r="AA12" s="63">
        <f>D12*AA$2</f>
        <v/>
      </c>
      <c r="AB12" s="63">
        <f>(D12+H12+J12+L12+N12+P12+R12+U12+W12+F12+X12+AA12)*AB$2</f>
        <v/>
      </c>
      <c r="AC12" s="63">
        <f>SUM(D12:Z12)*AC$2</f>
        <v/>
      </c>
      <c r="AD12" s="63">
        <f>SUM(D12:AC12)</f>
        <v/>
      </c>
    </row>
    <row r="13" ht="24.75" customHeight="1">
      <c r="A13" s="53" t="n">
        <v>9</v>
      </c>
      <c r="B13" s="24" t="inlineStr">
        <is>
          <t>Sample Record Search</t>
        </is>
      </c>
      <c r="C13" s="54" t="inlineStr">
        <is>
          <t>小</t>
        </is>
      </c>
      <c r="D13" s="55" t="n">
        <v>16</v>
      </c>
      <c r="E13" s="56">
        <f>D13*E$2</f>
        <v/>
      </c>
      <c r="F13" s="57">
        <f>D13*F$2</f>
        <v/>
      </c>
      <c r="G13" s="57">
        <f>F13*G$2</f>
        <v/>
      </c>
      <c r="H13" s="57">
        <f>D13*H$2</f>
        <v/>
      </c>
      <c r="I13" s="56">
        <f>H13*I$2</f>
        <v/>
      </c>
      <c r="J13" s="56">
        <f>D13*J$2</f>
        <v/>
      </c>
      <c r="K13" s="56">
        <f>J13*K$2</f>
        <v/>
      </c>
      <c r="L13" s="56">
        <f>D13*L$2</f>
        <v/>
      </c>
      <c r="M13" s="56">
        <f>L13*M$2</f>
        <v/>
      </c>
      <c r="N13" s="57">
        <f>J13*N$2</f>
        <v/>
      </c>
      <c r="O13" s="56">
        <f>N13*O$2</f>
        <v/>
      </c>
      <c r="P13" s="57">
        <f>D13*P$2</f>
        <v/>
      </c>
      <c r="Q13" s="57">
        <f>P13*Q$2</f>
        <v/>
      </c>
      <c r="R13" s="57">
        <f>P13*R$2</f>
        <v/>
      </c>
      <c r="S13" s="57">
        <f>R13*S$2</f>
        <v/>
      </c>
      <c r="T13" s="57">
        <f>D13*T$2</f>
        <v/>
      </c>
      <c r="U13" s="57">
        <f>P13*U$2</f>
        <v/>
      </c>
      <c r="V13" s="57">
        <f>U13*V$2</f>
        <v/>
      </c>
      <c r="W13" s="57">
        <f>D13*W$2</f>
        <v/>
      </c>
      <c r="X13" s="57">
        <f>D13*X$2</f>
        <v/>
      </c>
      <c r="Y13" s="57">
        <f>D13*Y$2</f>
        <v/>
      </c>
      <c r="Z13" s="57">
        <f>D13*Z$2</f>
        <v/>
      </c>
      <c r="AA13" s="57">
        <f>D13*AA$2</f>
        <v/>
      </c>
      <c r="AB13" s="57">
        <f>(D13+H13+J13+L13+N13+P13+R13+U13+W13+F13+X13+AA13)*AB$2</f>
        <v/>
      </c>
      <c r="AC13" s="57">
        <f>SUM(D13:Z13)*AC$2</f>
        <v/>
      </c>
      <c r="AD13" s="57">
        <f>SUM(D13:AC13)</f>
        <v/>
      </c>
    </row>
    <row r="14" ht="24.75" customHeight="1">
      <c r="A14" s="53" t="n"/>
      <c r="B14" s="64" t="n"/>
      <c r="C14" s="54" t="n"/>
      <c r="D14" s="65" t="n"/>
      <c r="E14" s="57" t="n"/>
      <c r="F14" s="57" t="n"/>
      <c r="G14" s="57" t="n"/>
      <c r="H14" s="57" t="n"/>
      <c r="I14" s="57" t="n"/>
      <c r="J14" s="57" t="n"/>
      <c r="K14" s="57" t="n"/>
      <c r="L14" s="57" t="n"/>
      <c r="M14" s="57" t="n"/>
      <c r="N14" s="57" t="n"/>
      <c r="O14" s="56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</row>
    <row r="15">
      <c r="A15" s="142" t="n"/>
      <c r="B15" s="164" t="n"/>
      <c r="C15" s="165" t="n"/>
      <c r="D15" s="66">
        <f>SUM(D5:D14)</f>
        <v/>
      </c>
      <c r="E15" s="67">
        <f>SUM(E5:E14)</f>
        <v/>
      </c>
      <c r="F15" s="66">
        <f>SUM(F5:F14)</f>
        <v/>
      </c>
      <c r="G15" s="67">
        <f>SUM(G5:G14)</f>
        <v/>
      </c>
      <c r="H15" s="68">
        <f>SUM(H5:H14)</f>
        <v/>
      </c>
      <c r="I15" s="67">
        <f>SUM(I5:I14)</f>
        <v/>
      </c>
      <c r="J15" s="68">
        <f>SUM(J5:J14)</f>
        <v/>
      </c>
      <c r="K15" s="67">
        <f>SUM(K5:K14)</f>
        <v/>
      </c>
      <c r="L15" s="68">
        <f>SUM(L5:L14)</f>
        <v/>
      </c>
      <c r="M15" s="67">
        <f>SUM(M5:M14)</f>
        <v/>
      </c>
      <c r="N15" s="68">
        <f>SUM(N5:N14)</f>
        <v/>
      </c>
      <c r="O15" s="67">
        <f>SUM(O5:O14)</f>
        <v/>
      </c>
      <c r="P15" s="66">
        <f>SUM(P5:P14)</f>
        <v/>
      </c>
      <c r="Q15" s="67">
        <f>SUM(Q5:Q14)</f>
        <v/>
      </c>
      <c r="R15" s="66">
        <f>SUM(R5:R14)</f>
        <v/>
      </c>
      <c r="S15" s="67">
        <f>SUM(S5:S14)</f>
        <v/>
      </c>
      <c r="T15" s="66">
        <f>SUM(T5:T14)</f>
        <v/>
      </c>
      <c r="U15" s="69">
        <f>SUM(U5:U14)</f>
        <v/>
      </c>
      <c r="V15" s="68">
        <f>SUM(V5:V14)</f>
        <v/>
      </c>
      <c r="W15" s="69">
        <f>SUM(W5:W14)</f>
        <v/>
      </c>
      <c r="X15" s="66">
        <f>SUM(X5:X14)</f>
        <v/>
      </c>
      <c r="Y15" s="69">
        <f>SUM(Y5:Y14)</f>
        <v/>
      </c>
      <c r="Z15" s="66">
        <f>SUM(Z5:Z14)</f>
        <v/>
      </c>
      <c r="AA15" s="69">
        <f>SUM(AA5:AA14)</f>
        <v/>
      </c>
      <c r="AB15" s="69">
        <f>SUM(AB5:AB14)</f>
        <v/>
      </c>
      <c r="AC15" s="68">
        <f>SUM(AC5:AC14)</f>
        <v/>
      </c>
      <c r="AD15" s="69">
        <f>SUM(AD5:AD14)</f>
        <v/>
      </c>
    </row>
    <row r="16">
      <c r="A16" s="143" t="n"/>
      <c r="B16" s="162" t="n"/>
      <c r="C16" s="166" t="n"/>
      <c r="D16" s="70">
        <f>D15/8</f>
        <v/>
      </c>
      <c r="E16" s="71">
        <f>E15/8</f>
        <v/>
      </c>
      <c r="F16" s="70">
        <f>F15/8</f>
        <v/>
      </c>
      <c r="G16" s="71">
        <f>G15/8</f>
        <v/>
      </c>
      <c r="H16" s="70">
        <f>H15/8</f>
        <v/>
      </c>
      <c r="I16" s="71">
        <f>I15/8</f>
        <v/>
      </c>
      <c r="J16" s="70">
        <f>J15/8</f>
        <v/>
      </c>
      <c r="K16" s="71">
        <f>K15/8</f>
        <v/>
      </c>
      <c r="L16" s="70">
        <f>L15/8</f>
        <v/>
      </c>
      <c r="M16" s="71">
        <f>M15/8</f>
        <v/>
      </c>
      <c r="N16" s="70">
        <f>N15/8</f>
        <v/>
      </c>
      <c r="O16" s="71">
        <f>O15/8</f>
        <v/>
      </c>
      <c r="P16" s="70">
        <f>P15/8</f>
        <v/>
      </c>
      <c r="Q16" s="71">
        <f>Q15/8</f>
        <v/>
      </c>
      <c r="R16" s="70">
        <f>R15/8</f>
        <v/>
      </c>
      <c r="S16" s="71">
        <f>S15/8</f>
        <v/>
      </c>
      <c r="T16" s="70">
        <f>T15/8</f>
        <v/>
      </c>
      <c r="U16" s="71">
        <f>U15/8</f>
        <v/>
      </c>
      <c r="V16" s="70">
        <f>V15/8</f>
        <v/>
      </c>
      <c r="W16" s="71">
        <f>W15/8</f>
        <v/>
      </c>
      <c r="X16" s="70">
        <f>X15/8</f>
        <v/>
      </c>
      <c r="Y16" s="70">
        <f>Y15/8</f>
        <v/>
      </c>
      <c r="Z16" s="70">
        <f>Z15/8</f>
        <v/>
      </c>
      <c r="AA16" s="71">
        <f>AA15/8</f>
        <v/>
      </c>
      <c r="AB16" s="71">
        <f>AB15/8</f>
        <v/>
      </c>
      <c r="AC16" s="70">
        <f>AC15/8</f>
        <v/>
      </c>
      <c r="AD16" s="72">
        <f>AD15/8</f>
        <v/>
      </c>
    </row>
    <row r="17" ht="15" customHeight="1">
      <c r="A17" s="144" t="n"/>
      <c r="B17" s="167" t="n"/>
      <c r="C17" s="168" t="n"/>
      <c r="D17" s="73">
        <f>D16/20</f>
        <v/>
      </c>
      <c r="E17" s="74">
        <f>E16/20</f>
        <v/>
      </c>
      <c r="F17" s="73">
        <f>F16/20</f>
        <v/>
      </c>
      <c r="G17" s="74">
        <f>G16/20</f>
        <v/>
      </c>
      <c r="H17" s="73">
        <f>H16/20</f>
        <v/>
      </c>
      <c r="I17" s="74">
        <f>I16/20</f>
        <v/>
      </c>
      <c r="J17" s="73">
        <f>J16/20</f>
        <v/>
      </c>
      <c r="K17" s="74">
        <f>K16/20</f>
        <v/>
      </c>
      <c r="L17" s="73">
        <f>L16/20</f>
        <v/>
      </c>
      <c r="M17" s="74">
        <f>M16/20</f>
        <v/>
      </c>
      <c r="N17" s="73">
        <f>N16/20</f>
        <v/>
      </c>
      <c r="O17" s="74">
        <f>O16/20</f>
        <v/>
      </c>
      <c r="P17" s="73">
        <f>P16/20</f>
        <v/>
      </c>
      <c r="Q17" s="74">
        <f>Q16/20</f>
        <v/>
      </c>
      <c r="R17" s="73">
        <f>R16/20</f>
        <v/>
      </c>
      <c r="S17" s="74">
        <f>S16/20</f>
        <v/>
      </c>
      <c r="T17" s="73">
        <f>T16/20</f>
        <v/>
      </c>
      <c r="U17" s="74">
        <f>U16/20</f>
        <v/>
      </c>
      <c r="V17" s="73">
        <f>V16/20</f>
        <v/>
      </c>
      <c r="W17" s="74">
        <f>W16/20</f>
        <v/>
      </c>
      <c r="X17" s="73">
        <f>X16/20</f>
        <v/>
      </c>
      <c r="Y17" s="73">
        <f>Y16/20</f>
        <v/>
      </c>
      <c r="Z17" s="73">
        <f>Z16/20</f>
        <v/>
      </c>
      <c r="AA17" s="74">
        <f>AA16/20</f>
        <v/>
      </c>
      <c r="AB17" s="74">
        <f>AB16/20</f>
        <v/>
      </c>
      <c r="AC17" s="73">
        <f>AC16/20</f>
        <v/>
      </c>
      <c r="AD17" s="75">
        <f>AD16/20</f>
        <v/>
      </c>
    </row>
    <row r="18">
      <c r="A18" s="145" t="inlineStr">
        <is>
          <t>Leader  1人+ Developer 2人 + UIUX 1人 (Hr)</t>
        </is>
      </c>
      <c r="B18" s="164" t="n"/>
      <c r="C18" s="169" t="n"/>
      <c r="D18" s="76">
        <f>D15/C26</f>
        <v/>
      </c>
      <c r="E18" s="77">
        <f>E15/1</f>
        <v/>
      </c>
      <c r="F18" s="76">
        <f>F15/1</f>
        <v/>
      </c>
      <c r="G18" s="77">
        <f>G15/1</f>
        <v/>
      </c>
      <c r="H18" s="77">
        <f>H15/1</f>
        <v/>
      </c>
      <c r="I18" s="77">
        <f>I15/1</f>
        <v/>
      </c>
      <c r="J18" s="77">
        <f>J15/1</f>
        <v/>
      </c>
      <c r="K18" s="77">
        <f>K15/1</f>
        <v/>
      </c>
      <c r="L18" s="77">
        <f>L15/1</f>
        <v/>
      </c>
      <c r="M18" s="77">
        <f>M15/1</f>
        <v/>
      </c>
      <c r="N18" s="77">
        <f>N15/1</f>
        <v/>
      </c>
      <c r="O18" s="77">
        <f>O15/1</f>
        <v/>
      </c>
      <c r="P18" s="76">
        <f>P15/C26</f>
        <v/>
      </c>
      <c r="Q18" s="77">
        <f>Q15/1</f>
        <v/>
      </c>
      <c r="R18" s="76">
        <f>R15/C26</f>
        <v/>
      </c>
      <c r="S18" s="77">
        <f>S15/1</f>
        <v/>
      </c>
      <c r="T18" s="76">
        <f>T15/C26</f>
        <v/>
      </c>
      <c r="U18" s="76">
        <f>U15/C26</f>
        <v/>
      </c>
      <c r="V18" s="77">
        <f>V15/1</f>
        <v/>
      </c>
      <c r="W18" s="76">
        <f>W15/C26</f>
        <v/>
      </c>
      <c r="X18" s="76">
        <f>X15/C26</f>
        <v/>
      </c>
      <c r="Y18" s="76">
        <f>Y15/C26</f>
        <v/>
      </c>
      <c r="Z18" s="76">
        <f>Z15/C26</f>
        <v/>
      </c>
      <c r="AA18" s="76">
        <f>AA15/C26</f>
        <v/>
      </c>
      <c r="AB18" s="76">
        <f>AB15/C26</f>
        <v/>
      </c>
      <c r="AC18" s="77">
        <f>AC15/1</f>
        <v/>
      </c>
      <c r="AD18" s="78">
        <f>SUM(D18:AC18)</f>
        <v/>
      </c>
    </row>
    <row r="19">
      <c r="A19" s="139" t="inlineStr">
        <is>
          <t>Leader  1人+ Developer 2人 + UIUX 1人 (Days)</t>
        </is>
      </c>
      <c r="B19" s="162" t="n"/>
      <c r="C19" s="123" t="n"/>
      <c r="D19" s="79">
        <f>D18/8</f>
        <v/>
      </c>
      <c r="E19" s="79">
        <f>E18/8</f>
        <v/>
      </c>
      <c r="F19" s="79">
        <f>F18/8</f>
        <v/>
      </c>
      <c r="G19" s="79">
        <f>G18/8</f>
        <v/>
      </c>
      <c r="H19" s="79">
        <f>H18/8</f>
        <v/>
      </c>
      <c r="I19" s="79">
        <f>I18/8</f>
        <v/>
      </c>
      <c r="J19" s="79">
        <f>J18/8</f>
        <v/>
      </c>
      <c r="K19" s="79">
        <f>K18/8</f>
        <v/>
      </c>
      <c r="L19" s="79">
        <f>L18/8</f>
        <v/>
      </c>
      <c r="M19" s="79">
        <f>M18/8</f>
        <v/>
      </c>
      <c r="N19" s="79">
        <f>N18/8</f>
        <v/>
      </c>
      <c r="O19" s="79">
        <f>O18/8</f>
        <v/>
      </c>
      <c r="P19" s="79">
        <f>P18/8</f>
        <v/>
      </c>
      <c r="Q19" s="79">
        <f>Q18/8</f>
        <v/>
      </c>
      <c r="R19" s="79">
        <f>R18/8</f>
        <v/>
      </c>
      <c r="S19" s="79">
        <f>S18/8</f>
        <v/>
      </c>
      <c r="T19" s="79">
        <f>T18/8</f>
        <v/>
      </c>
      <c r="U19" s="79">
        <f>U18/8</f>
        <v/>
      </c>
      <c r="V19" s="79">
        <f>V18/8</f>
        <v/>
      </c>
      <c r="W19" s="79">
        <f>W18/8</f>
        <v/>
      </c>
      <c r="X19" s="79">
        <f>X18/8</f>
        <v/>
      </c>
      <c r="Y19" s="79">
        <f>Y18/8</f>
        <v/>
      </c>
      <c r="Z19" s="79">
        <f>Z18/8</f>
        <v/>
      </c>
      <c r="AA19" s="79">
        <f>AA18/8</f>
        <v/>
      </c>
      <c r="AB19" s="79">
        <f>AB18/8</f>
        <v/>
      </c>
      <c r="AC19" s="79">
        <f>AC18/8</f>
        <v/>
      </c>
      <c r="AD19" s="80">
        <f>SUM(D19:AC19)</f>
        <v/>
      </c>
    </row>
    <row r="20" ht="15" customHeight="1">
      <c r="A20" s="140" t="inlineStr">
        <is>
          <t>Leader  1人+ Developer 2人 + UIUX 1人 (Months)</t>
        </is>
      </c>
      <c r="B20" s="170" t="n"/>
      <c r="C20" s="171" t="n"/>
      <c r="D20" s="81">
        <f>D19/20</f>
        <v/>
      </c>
      <c r="E20" s="81">
        <f>E19/20</f>
        <v/>
      </c>
      <c r="F20" s="81">
        <f>F19/20</f>
        <v/>
      </c>
      <c r="G20" s="81">
        <f>G19/20</f>
        <v/>
      </c>
      <c r="H20" s="81">
        <f>H19/20</f>
        <v/>
      </c>
      <c r="I20" s="81">
        <f>I19/20</f>
        <v/>
      </c>
      <c r="J20" s="81">
        <f>J19/20</f>
        <v/>
      </c>
      <c r="K20" s="81">
        <f>K19/20</f>
        <v/>
      </c>
      <c r="L20" s="81">
        <f>L19/20</f>
        <v/>
      </c>
      <c r="M20" s="81">
        <f>M19/20</f>
        <v/>
      </c>
      <c r="N20" s="81">
        <f>N19/20</f>
        <v/>
      </c>
      <c r="O20" s="81">
        <f>O19/20</f>
        <v/>
      </c>
      <c r="P20" s="81">
        <f>P19/20</f>
        <v/>
      </c>
      <c r="Q20" s="81">
        <f>Q19/20</f>
        <v/>
      </c>
      <c r="R20" s="81">
        <f>R19/20</f>
        <v/>
      </c>
      <c r="S20" s="81">
        <f>S19/20</f>
        <v/>
      </c>
      <c r="T20" s="81">
        <f>T19/20</f>
        <v/>
      </c>
      <c r="U20" s="81">
        <f>U19/20</f>
        <v/>
      </c>
      <c r="V20" s="81">
        <f>V19/20</f>
        <v/>
      </c>
      <c r="W20" s="81">
        <f>W19/20</f>
        <v/>
      </c>
      <c r="X20" s="81">
        <f>X19/20</f>
        <v/>
      </c>
      <c r="Y20" s="81">
        <f>Y19/20</f>
        <v/>
      </c>
      <c r="Z20" s="81">
        <f>Z19/20</f>
        <v/>
      </c>
      <c r="AA20" s="81">
        <f>AA19/20</f>
        <v/>
      </c>
      <c r="AB20" s="81">
        <f>AB19/20</f>
        <v/>
      </c>
      <c r="AC20" s="81">
        <f>AC19/20</f>
        <v/>
      </c>
      <c r="AD20" s="82">
        <f>SUM(D20:AC20)</f>
        <v/>
      </c>
    </row>
    <row r="22">
      <c r="S22" s="22" t="n"/>
      <c r="AB22" s="14" t="inlineStr">
        <is>
          <t>hrs</t>
        </is>
      </c>
      <c r="AC22" s="14" t="inlineStr">
        <is>
          <t>days</t>
        </is>
      </c>
    </row>
    <row r="23">
      <c r="I23" s="22" t="n"/>
      <c r="S23" s="22" t="n"/>
      <c r="AA23" s="13" t="inlineStr">
        <is>
          <t>Before</t>
        </is>
      </c>
      <c r="AB23" s="13" t="n">
        <v>1596.82</v>
      </c>
      <c r="AC23" s="22">
        <f>AB23/8</f>
        <v/>
      </c>
    </row>
    <row r="24">
      <c r="B24" s="83" t="n"/>
      <c r="C24" s="84" t="inlineStr">
        <is>
          <t>Capacity</t>
        </is>
      </c>
      <c r="D24" s="84" t="inlineStr">
        <is>
          <t>Hr</t>
        </is>
      </c>
      <c r="E24" s="84" t="inlineStr">
        <is>
          <t>Day</t>
        </is>
      </c>
      <c r="F24" s="84" t="inlineStr">
        <is>
          <t>Month</t>
        </is>
      </c>
      <c r="G24" s="85" t="n"/>
      <c r="L24" s="22" t="n"/>
      <c r="S24" s="22" t="n"/>
      <c r="AA24" s="13" t="inlineStr">
        <is>
          <t>After</t>
        </is>
      </c>
      <c r="AB24" s="22">
        <f>AD15</f>
        <v/>
      </c>
      <c r="AC24" s="22">
        <f>AB24/8</f>
        <v/>
      </c>
    </row>
    <row r="25">
      <c r="B25" s="24" t="inlineStr">
        <is>
          <t>Leader</t>
        </is>
      </c>
      <c r="C25" s="24" t="n">
        <v>1</v>
      </c>
      <c r="D25" s="57">
        <f>E15+G15+H15+I15+J15+K15+L15+M15+N15+O15+Q15+S15+V15+AC15+TotalManhour!C2</f>
        <v/>
      </c>
      <c r="E25" s="57">
        <f>D25/8</f>
        <v/>
      </c>
      <c r="F25" s="57">
        <f>E25/20</f>
        <v/>
      </c>
      <c r="G25" s="172" t="n"/>
      <c r="I25" s="173" t="n"/>
      <c r="J25" s="174" t="n"/>
      <c r="L25" s="22" t="n"/>
      <c r="AA25" s="13" t="inlineStr">
        <is>
          <t>diff</t>
        </is>
      </c>
      <c r="AB25" s="22">
        <f>AB24-AB23</f>
        <v/>
      </c>
      <c r="AC25" s="22">
        <f>AC24-AC23</f>
        <v/>
      </c>
    </row>
    <row r="26">
      <c r="B26" s="24" t="inlineStr">
        <is>
          <t>Member</t>
        </is>
      </c>
      <c r="C26" s="24" t="n">
        <v>2</v>
      </c>
      <c r="D26" s="57">
        <f>D18+P18+R18+T18+U18+W18+X18+Y18+Z18+AA18+AB18+(SUM(TotalManhour!C6:C12)/2)</f>
        <v/>
      </c>
      <c r="E26" s="57">
        <f>D26/8</f>
        <v/>
      </c>
      <c r="F26" s="57">
        <f>E26/20</f>
        <v/>
      </c>
      <c r="G26" s="172" t="n"/>
      <c r="J26" s="174" t="n"/>
    </row>
    <row r="27">
      <c r="B27" s="24" t="inlineStr">
        <is>
          <t>UI/UX</t>
        </is>
      </c>
      <c r="C27" s="24" t="n">
        <v>1</v>
      </c>
      <c r="D27" s="57">
        <f>F15</f>
        <v/>
      </c>
      <c r="E27" s="57">
        <f>D27/8</f>
        <v/>
      </c>
      <c r="F27" s="57">
        <f>E27/20</f>
        <v/>
      </c>
      <c r="G27" s="172" t="n"/>
      <c r="J27" s="174" t="n"/>
      <c r="L27" s="22" t="n"/>
      <c r="M27" s="22" t="n"/>
      <c r="Y27" s="175" t="n"/>
    </row>
    <row r="28" hidden="1">
      <c r="B28" s="90" t="inlineStr">
        <is>
          <t>Total</t>
        </is>
      </c>
      <c r="C28" s="90" t="n"/>
      <c r="D28" s="91">
        <f>SUM(D25:D27)</f>
        <v/>
      </c>
      <c r="E28" s="91">
        <f>SUM(E25:E27)</f>
        <v/>
      </c>
      <c r="F28" s="91">
        <f>SUM(F25:F27)</f>
        <v/>
      </c>
      <c r="G28" s="176" t="n"/>
      <c r="J28" s="174" t="n"/>
    </row>
    <row r="29">
      <c r="F29" s="176" t="n"/>
      <c r="G29" s="176" t="n"/>
      <c r="I29" s="22" t="n"/>
      <c r="J29" s="174" t="n"/>
    </row>
    <row r="30">
      <c r="D30" s="22" t="n"/>
    </row>
    <row r="31">
      <c r="D31" s="22" t="n"/>
      <c r="E31" s="22" t="n"/>
      <c r="I31" s="93" t="n"/>
    </row>
    <row r="32">
      <c r="B32" s="94" t="inlineStr">
        <is>
          <t>Required Skill</t>
        </is>
      </c>
      <c r="C32" s="95" t="n"/>
      <c r="D32" s="95" t="n"/>
      <c r="E32" s="95" t="n"/>
    </row>
    <row r="33">
      <c r="B33" s="95" t="inlineStr">
        <is>
          <t>One Senior Member</t>
        </is>
      </c>
      <c r="C33" s="95" t="inlineStr">
        <is>
          <t>Sample skill requirement description.</t>
        </is>
      </c>
      <c r="D33" s="95" t="n"/>
      <c r="E33" s="95" t="n"/>
    </row>
    <row r="34">
      <c r="B34" s="95" t="inlineStr">
        <is>
          <t>Two Junior Members</t>
        </is>
      </c>
      <c r="C34" s="95" t="inlineStr">
        <is>
          <t>Sample skill requirement description.</t>
        </is>
      </c>
      <c r="D34" s="95" t="n"/>
      <c r="E34" s="95" t="n"/>
    </row>
  </sheetData>
  <mergeCells count="12">
    <mergeCell ref="F3:G3"/>
    <mergeCell ref="AA3:AC3"/>
    <mergeCell ref="P3:Q3"/>
    <mergeCell ref="A19:C19"/>
    <mergeCell ref="H3:O3"/>
    <mergeCell ref="R3:T3"/>
    <mergeCell ref="A17:C17"/>
    <mergeCell ref="A18:C18"/>
    <mergeCell ref="A15:C15"/>
    <mergeCell ref="U3:W3"/>
    <mergeCell ref="A20:C20"/>
    <mergeCell ref="A16:C16"/>
  </mergeCells>
  <dataValidations count="1">
    <dataValidation sqref="C5:C14" showDropDown="0" showInputMessage="1" showErrorMessage="1" allowBlank="1" type="list">
      <formula1>"難しい,簡単,普通"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zoomScaleNormal="100" workbookViewId="0">
      <selection activeCell="F18" sqref="F18"/>
    </sheetView>
  </sheetViews>
  <sheetFormatPr baseColWidth="8" defaultColWidth="8.6328125" defaultRowHeight="14.5"/>
  <cols>
    <col width="28.26953125" customWidth="1" min="2" max="2"/>
    <col width="18.26953125" customWidth="1" min="3" max="3"/>
    <col width="37.54296875" customWidth="1" min="4" max="4"/>
    <col width="16.54296875" customWidth="1" min="5" max="5"/>
    <col width="16.453125" customWidth="1" min="6" max="6"/>
    <col width="25" customWidth="1" min="7" max="7"/>
  </cols>
  <sheetData>
    <row r="1" ht="14.25" customHeight="1">
      <c r="A1" s="148" t="inlineStr">
        <is>
          <t>Man Hour for Sample HR &amp; Attendance System</t>
        </is>
      </c>
    </row>
    <row r="2" ht="14.25" customHeight="1">
      <c r="A2" s="163" t="n"/>
      <c r="B2" s="163" t="n"/>
      <c r="C2" s="163" t="n"/>
      <c r="D2" s="163" t="n"/>
      <c r="E2" s="163" t="n"/>
      <c r="F2" s="163" t="n"/>
      <c r="G2" s="163" t="n"/>
    </row>
    <row r="3" ht="15" customHeight="1">
      <c r="A3" s="97" t="inlineStr">
        <is>
          <t>No</t>
        </is>
      </c>
      <c r="B3" s="97" t="inlineStr">
        <is>
          <t>Customer</t>
        </is>
      </c>
      <c r="C3" s="98" t="inlineStr">
        <is>
          <t>Server</t>
        </is>
      </c>
      <c r="D3" s="97" t="inlineStr">
        <is>
          <t>Operation</t>
        </is>
      </c>
      <c r="E3" s="97" t="inlineStr">
        <is>
          <t>Duration (hours)</t>
        </is>
      </c>
      <c r="F3" s="97" t="inlineStr">
        <is>
          <t>Working Day</t>
        </is>
      </c>
      <c r="G3" s="99" t="inlineStr">
        <is>
          <t>Host</t>
        </is>
      </c>
    </row>
    <row r="4">
      <c r="A4" s="149" t="n">
        <v>1</v>
      </c>
      <c r="B4" s="150" t="inlineStr">
        <is>
          <t>Sample Customer Co., Ltd.</t>
        </is>
      </c>
      <c r="C4" s="100" t="inlineStr">
        <is>
          <t>On-Premise</t>
        </is>
      </c>
      <c r="D4" s="100" t="inlineStr">
        <is>
          <t>1. Host installation</t>
        </is>
      </c>
      <c r="E4" s="101" t="inlineStr">
        <is>
          <t>48 Hours</t>
        </is>
      </c>
      <c r="F4" s="102" t="inlineStr">
        <is>
          <t>6 Days</t>
        </is>
      </c>
      <c r="G4" s="103" t="inlineStr">
        <is>
          <t>On-Premise</t>
        </is>
      </c>
    </row>
    <row r="5">
      <c r="A5" s="177" t="n"/>
      <c r="B5" s="160" t="n"/>
      <c r="C5" s="104" t="n"/>
      <c r="D5" s="104" t="inlineStr">
        <is>
          <t>2. source code deployment</t>
        </is>
      </c>
      <c r="E5" s="105" t="n"/>
      <c r="F5" s="106" t="n"/>
      <c r="G5" s="107" t="n"/>
    </row>
    <row r="6">
      <c r="A6" s="177" t="n"/>
      <c r="B6" s="160" t="n"/>
      <c r="C6" s="104" t="n"/>
      <c r="D6" s="104" t="inlineStr">
        <is>
          <t>3. Testing and Documentation</t>
        </is>
      </c>
      <c r="E6" s="105" t="n"/>
      <c r="F6" s="104" t="n"/>
      <c r="G6" s="108" t="n"/>
    </row>
    <row r="7" ht="15" customHeight="1">
      <c r="A7" s="133" t="n"/>
      <c r="B7" s="131" t="n"/>
      <c r="C7" s="109" t="n"/>
      <c r="D7" s="109" t="n"/>
      <c r="E7" s="109" t="n"/>
      <c r="F7" s="109" t="n"/>
      <c r="G7" s="110" t="n"/>
    </row>
    <row r="10">
      <c r="B10" t="inlineStr">
        <is>
          <t>1) Must provide one VM instance.</t>
        </is>
      </c>
    </row>
    <row r="11">
      <c r="B11" t="inlineStr">
        <is>
          <t>2) Must provide OS installation. (we can support required information, OS version and co-operation)</t>
        </is>
      </c>
    </row>
    <row r="12">
      <c r="B12" t="inlineStr">
        <is>
          <t>3) One local IP address is needed for system access.</t>
        </is>
      </c>
    </row>
    <row r="13">
      <c r="B13" t="inlineStr">
        <is>
          <t>4) Firewall port assignment and forwarding must be provide.</t>
        </is>
      </c>
    </row>
    <row r="14">
      <c r="B14" t="inlineStr">
        <is>
          <t>5) Must provide required server specification. (4 vCPU, 8 GB RAM, HDD 100 GB)</t>
        </is>
      </c>
    </row>
    <row r="15">
      <c r="B15" t="inlineStr">
        <is>
          <t>6) Must provide database and file backup rotation period.</t>
        </is>
      </c>
    </row>
    <row r="16">
      <c r="B16" t="inlineStr">
        <is>
          <t>7) Must provide our once a month maintenance process for system health check in remote way.</t>
        </is>
      </c>
    </row>
    <row r="17">
      <c r="B17" t="inlineStr">
        <is>
          <t>(if you want on-site support rather than remote way, it is needed to negotiate)</t>
        </is>
      </c>
    </row>
    <row r="18">
      <c r="B18" t="inlineStr">
        <is>
          <t>8) If database and file backups are store in local server, it can be data lost server HDD or server is damaged.</t>
        </is>
      </c>
    </row>
    <row r="19">
      <c r="B19" t="inlineStr">
        <is>
          <t>(if you want to store backup in other location, we have service for backup storage)</t>
        </is>
      </c>
    </row>
    <row r="20">
      <c r="B20" t="inlineStr">
        <is>
          <t xml:space="preserve">9) Credentials are needed to keep confidentially. </t>
        </is>
      </c>
    </row>
    <row r="21">
      <c r="B21" t="inlineStr">
        <is>
          <t>10) Since there is not public usage, server can only be access locally.</t>
        </is>
      </c>
    </row>
  </sheetData>
  <mergeCells count="3">
    <mergeCell ref="A4:A7"/>
    <mergeCell ref="B4:B7"/>
    <mergeCell ref="A1:G2"/>
  </mergeCell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Normal="100" workbookViewId="0">
      <selection activeCell="S23" sqref="S23"/>
    </sheetView>
  </sheetViews>
  <sheetFormatPr baseColWidth="8" defaultColWidth="8.6328125" defaultRowHeight="14.5"/>
  <sheetData/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W17"/>
  <sheetViews>
    <sheetView zoomScaleNormal="100" workbookViewId="0">
      <selection activeCell="N7" sqref="N7"/>
    </sheetView>
  </sheetViews>
  <sheetFormatPr baseColWidth="8" defaultColWidth="8.7265625" defaultRowHeight="14.5"/>
  <sheetData>
    <row r="1" ht="15" customHeight="1"/>
    <row r="2" ht="21" customHeight="1">
      <c r="A2" s="157" t="n"/>
      <c r="B2" s="178" t="n"/>
      <c r="C2" s="179" t="n"/>
      <c r="D2" s="158" t="inlineStr">
        <is>
          <t>Dec</t>
        </is>
      </c>
      <c r="E2" s="164" t="n"/>
      <c r="F2" s="164" t="n"/>
      <c r="G2" s="169" t="n"/>
      <c r="H2" s="159" t="inlineStr">
        <is>
          <t>Jan</t>
        </is>
      </c>
      <c r="I2" s="164" t="n"/>
      <c r="J2" s="164" t="n"/>
      <c r="K2" s="169" t="n"/>
      <c r="L2" s="154" t="inlineStr">
        <is>
          <t>Feb</t>
        </is>
      </c>
      <c r="M2" s="164" t="n"/>
      <c r="N2" s="164" t="n"/>
      <c r="O2" s="169" t="n"/>
      <c r="P2" s="154" t="inlineStr">
        <is>
          <t>Mar</t>
        </is>
      </c>
      <c r="Q2" s="164" t="n"/>
      <c r="R2" s="164" t="n"/>
      <c r="S2" s="169" t="n"/>
      <c r="T2" s="154" t="inlineStr">
        <is>
          <t>April</t>
        </is>
      </c>
      <c r="U2" s="164" t="n"/>
      <c r="V2" s="164" t="n"/>
      <c r="W2" s="169" t="n"/>
    </row>
    <row r="3" ht="21" customHeight="1">
      <c r="A3" s="180" t="n"/>
      <c r="B3" s="181" t="n"/>
      <c r="C3" s="182" t="n"/>
      <c r="D3" s="111" t="inlineStr">
        <is>
          <t>1W</t>
        </is>
      </c>
      <c r="E3" s="112" t="inlineStr">
        <is>
          <t>2W</t>
        </is>
      </c>
      <c r="F3" s="112" t="inlineStr">
        <is>
          <t>3W</t>
        </is>
      </c>
      <c r="G3" s="113" t="inlineStr">
        <is>
          <t>4W</t>
        </is>
      </c>
      <c r="H3" s="114" t="inlineStr">
        <is>
          <t>1W</t>
        </is>
      </c>
      <c r="I3" s="112" t="inlineStr">
        <is>
          <t>2W</t>
        </is>
      </c>
      <c r="J3" s="112" t="inlineStr">
        <is>
          <t>3W</t>
        </is>
      </c>
      <c r="K3" s="115" t="inlineStr">
        <is>
          <t>4W</t>
        </is>
      </c>
      <c r="L3" s="111" t="inlineStr">
        <is>
          <t>1W</t>
        </is>
      </c>
      <c r="M3" s="112" t="inlineStr">
        <is>
          <t>2W</t>
        </is>
      </c>
      <c r="N3" s="112" t="inlineStr">
        <is>
          <t>3W</t>
        </is>
      </c>
      <c r="O3" s="113" t="inlineStr">
        <is>
          <t>4W</t>
        </is>
      </c>
      <c r="P3" s="111" t="inlineStr">
        <is>
          <t>1W</t>
        </is>
      </c>
      <c r="Q3" s="112" t="inlineStr">
        <is>
          <t>2W</t>
        </is>
      </c>
      <c r="R3" s="112" t="inlineStr">
        <is>
          <t>3W</t>
        </is>
      </c>
      <c r="S3" s="113" t="inlineStr">
        <is>
          <t>4W</t>
        </is>
      </c>
      <c r="T3" s="111" t="inlineStr">
        <is>
          <t>1W</t>
        </is>
      </c>
      <c r="U3" s="112" t="inlineStr">
        <is>
          <t>2W</t>
        </is>
      </c>
      <c r="V3" s="112" t="inlineStr">
        <is>
          <t>3W</t>
        </is>
      </c>
      <c r="W3" s="113" t="inlineStr">
        <is>
          <t>4W</t>
        </is>
      </c>
    </row>
    <row r="4" ht="38.25" customHeight="1">
      <c r="A4" s="155" t="inlineStr">
        <is>
          <t>Requirement Definition</t>
        </is>
      </c>
      <c r="B4" s="164" t="n"/>
      <c r="C4" s="165" t="n"/>
      <c r="D4" s="116" t="n"/>
      <c r="E4" s="96" t="n"/>
      <c r="F4" s="96" t="n"/>
      <c r="G4" s="117" t="n"/>
      <c r="H4" s="118" t="n"/>
      <c r="I4" s="96" t="n"/>
      <c r="J4" s="96" t="n"/>
      <c r="K4" s="119" t="n"/>
      <c r="L4" s="116" t="n"/>
      <c r="M4" s="96" t="n"/>
      <c r="N4" s="96" t="n"/>
      <c r="O4" s="117" t="n"/>
      <c r="P4" s="116" t="n"/>
      <c r="Q4" s="96" t="n"/>
      <c r="R4" s="96" t="n"/>
      <c r="S4" s="117" t="n"/>
      <c r="T4" s="116" t="n"/>
      <c r="U4" s="96" t="n"/>
      <c r="V4" s="96" t="n"/>
      <c r="W4" s="117" t="n"/>
    </row>
    <row r="5" ht="38.25" customHeight="1">
      <c r="A5" s="156" t="inlineStr">
        <is>
          <t>System Flow Design + DB Design</t>
        </is>
      </c>
      <c r="B5" s="162" t="n"/>
      <c r="C5" s="123" t="n"/>
      <c r="D5" s="120" t="n"/>
      <c r="E5" s="121" t="n"/>
      <c r="F5" s="121" t="n"/>
      <c r="G5" s="122" t="n"/>
      <c r="H5" s="123" t="n"/>
      <c r="I5" s="121" t="n"/>
      <c r="J5" s="121" t="n"/>
      <c r="K5" s="124" t="n"/>
      <c r="L5" s="120" t="n"/>
      <c r="M5" s="121" t="n"/>
      <c r="N5" s="121" t="n"/>
      <c r="O5" s="122" t="n"/>
      <c r="P5" s="120" t="n"/>
      <c r="Q5" s="121" t="n"/>
      <c r="R5" s="121" t="n"/>
      <c r="S5" s="122" t="n"/>
      <c r="T5" s="120" t="n"/>
      <c r="U5" s="121" t="n"/>
      <c r="V5" s="121" t="n"/>
      <c r="W5" s="122" t="n"/>
    </row>
    <row r="6" ht="34.5" customHeight="1">
      <c r="A6" s="152" t="inlineStr">
        <is>
          <t>UI/UX Design</t>
        </is>
      </c>
      <c r="B6" s="162" t="n"/>
      <c r="C6" s="123" t="n"/>
      <c r="D6" s="120" t="n"/>
      <c r="E6" s="121" t="n"/>
      <c r="F6" s="121" t="n"/>
      <c r="G6" s="122" t="n"/>
      <c r="H6" s="123" t="n"/>
      <c r="I6" s="121" t="n"/>
      <c r="J6" s="121" t="n"/>
      <c r="K6" s="124" t="n"/>
      <c r="L6" s="120" t="n"/>
      <c r="M6" s="121" t="n"/>
      <c r="N6" s="121" t="n"/>
      <c r="O6" s="122" t="n"/>
      <c r="P6" s="120" t="n"/>
      <c r="Q6" s="121" t="n"/>
      <c r="R6" s="121" t="n"/>
      <c r="S6" s="122" t="n"/>
      <c r="T6" s="120" t="n"/>
      <c r="U6" s="121" t="n"/>
      <c r="V6" s="121" t="n"/>
      <c r="W6" s="122" t="n"/>
    </row>
    <row r="7" ht="34.5" customHeight="1">
      <c r="A7" s="156" t="inlineStr">
        <is>
          <t>Design &amp; Test Case 
Documentation</t>
        </is>
      </c>
      <c r="B7" s="162" t="n"/>
      <c r="C7" s="123" t="n"/>
      <c r="D7" s="120" t="n"/>
      <c r="E7" s="121" t="n"/>
      <c r="F7" s="121" t="n"/>
      <c r="G7" s="122" t="n"/>
      <c r="H7" s="123" t="n"/>
      <c r="I7" s="121" t="n"/>
      <c r="J7" s="121" t="n"/>
      <c r="K7" s="124" t="n"/>
      <c r="L7" s="120" t="n"/>
      <c r="M7" s="121" t="n"/>
      <c r="N7" s="121" t="n"/>
      <c r="O7" s="122" t="n"/>
      <c r="P7" s="120" t="n"/>
      <c r="Q7" s="121" t="n"/>
      <c r="R7" s="121" t="n"/>
      <c r="S7" s="122" t="n"/>
      <c r="T7" s="120" t="n"/>
      <c r="U7" s="121" t="n"/>
      <c r="V7" s="121" t="n"/>
      <c r="W7" s="122" t="n"/>
    </row>
    <row r="8" ht="33.75" customHeight="1">
      <c r="A8" s="152" t="inlineStr">
        <is>
          <t>Development</t>
        </is>
      </c>
      <c r="B8" s="162" t="n"/>
      <c r="C8" s="123" t="n"/>
      <c r="D8" s="120" t="n"/>
      <c r="E8" s="121" t="n"/>
      <c r="F8" s="121" t="n"/>
      <c r="G8" s="122" t="n"/>
      <c r="H8" s="123" t="n"/>
      <c r="I8" s="121" t="n"/>
      <c r="J8" s="121" t="n"/>
      <c r="K8" s="124" t="n"/>
      <c r="L8" s="120" t="n"/>
      <c r="M8" s="121" t="n"/>
      <c r="N8" s="121" t="n"/>
      <c r="O8" s="122" t="n"/>
      <c r="P8" s="120" t="n"/>
      <c r="Q8" s="121" t="n"/>
      <c r="R8" s="121" t="n"/>
      <c r="S8" s="122" t="n"/>
      <c r="T8" s="120" t="n"/>
      <c r="U8" s="121" t="n"/>
      <c r="V8" s="121" t="n"/>
      <c r="W8" s="122" t="n"/>
    </row>
    <row r="9" ht="33.75" customHeight="1">
      <c r="A9" s="152" t="inlineStr">
        <is>
          <t>Testing Server Setting</t>
        </is>
      </c>
      <c r="B9" s="162" t="n"/>
      <c r="C9" s="123" t="n"/>
      <c r="D9" s="120" t="n"/>
      <c r="E9" s="121" t="n"/>
      <c r="F9" s="121" t="n"/>
      <c r="G9" s="122" t="n"/>
      <c r="H9" s="123" t="n"/>
      <c r="I9" s="121" t="n"/>
      <c r="J9" s="121" t="n"/>
      <c r="K9" s="124" t="n"/>
      <c r="L9" s="120" t="n"/>
      <c r="M9" s="121" t="n"/>
      <c r="N9" s="121" t="n"/>
      <c r="O9" s="122" t="n"/>
      <c r="P9" s="120" t="n"/>
      <c r="Q9" s="121" t="n"/>
      <c r="R9" s="121" t="n"/>
      <c r="S9" s="122" t="n"/>
      <c r="T9" s="120" t="n"/>
      <c r="U9" s="121" t="n"/>
      <c r="V9" s="121" t="n"/>
      <c r="W9" s="122" t="n"/>
    </row>
    <row r="10" ht="32.25" customHeight="1">
      <c r="A10" s="152" t="inlineStr">
        <is>
          <t>Unit Testing</t>
        </is>
      </c>
      <c r="B10" s="162" t="n"/>
      <c r="C10" s="123" t="n"/>
      <c r="D10" s="120" t="n"/>
      <c r="E10" s="121" t="n"/>
      <c r="F10" s="121" t="n"/>
      <c r="G10" s="122" t="n"/>
      <c r="H10" s="123" t="n"/>
      <c r="I10" s="121" t="n"/>
      <c r="J10" s="121" t="n"/>
      <c r="K10" s="124" t="n"/>
      <c r="L10" s="120" t="n"/>
      <c r="M10" s="121" t="n"/>
      <c r="N10" s="121" t="n"/>
      <c r="O10" s="122" t="n"/>
      <c r="P10" s="120" t="n"/>
      <c r="Q10" s="121" t="n"/>
      <c r="R10" s="121" t="n"/>
      <c r="S10" s="122" t="n"/>
      <c r="T10" s="120" t="n"/>
      <c r="U10" s="121" t="n"/>
      <c r="V10" s="121" t="n"/>
      <c r="W10" s="122" t="n"/>
    </row>
    <row r="11" ht="33.75" customHeight="1">
      <c r="A11" s="151" t="inlineStr">
        <is>
          <t>Integration Testing</t>
        </is>
      </c>
      <c r="B11" s="162" t="n"/>
      <c r="C11" s="166" t="n"/>
      <c r="D11" s="125" t="n"/>
      <c r="E11" s="126" t="n"/>
      <c r="F11" s="126" t="n"/>
      <c r="G11" s="127" t="n"/>
      <c r="H11" s="128" t="n"/>
      <c r="I11" s="126" t="n"/>
      <c r="J11" s="126" t="n"/>
      <c r="K11" s="129" t="n"/>
      <c r="L11" s="125" t="n"/>
      <c r="M11" s="126" t="n"/>
      <c r="N11" s="126" t="n"/>
      <c r="O11" s="127" t="n"/>
      <c r="P11" s="125" t="n"/>
      <c r="Q11" s="126" t="n"/>
      <c r="R11" s="126" t="n"/>
      <c r="S11" s="127" t="n"/>
      <c r="T11" s="125" t="n"/>
      <c r="U11" s="126" t="n"/>
      <c r="V11" s="126" t="n"/>
      <c r="W11" s="127" t="n"/>
    </row>
    <row r="12" ht="33.75" customHeight="1">
      <c r="A12" s="151" t="inlineStr">
        <is>
          <t>UAT Server Setting</t>
        </is>
      </c>
      <c r="B12" s="162" t="n"/>
      <c r="C12" s="166" t="n"/>
      <c r="D12" s="120" t="n"/>
      <c r="E12" s="121" t="n"/>
      <c r="F12" s="121" t="n"/>
      <c r="G12" s="122" t="n"/>
      <c r="H12" s="123" t="n"/>
      <c r="I12" s="121" t="n"/>
      <c r="J12" s="121" t="n"/>
      <c r="K12" s="124" t="n"/>
      <c r="L12" s="120" t="n"/>
      <c r="M12" s="121" t="n"/>
      <c r="N12" s="121" t="n"/>
      <c r="O12" s="122" t="n"/>
      <c r="P12" s="120" t="n"/>
      <c r="Q12" s="121" t="n"/>
      <c r="R12" s="121" t="n"/>
      <c r="S12" s="122" t="n"/>
      <c r="T12" s="120" t="n"/>
      <c r="U12" s="121" t="n"/>
      <c r="V12" s="121" t="n"/>
      <c r="W12" s="122" t="n"/>
    </row>
    <row r="13" ht="33.75" customHeight="1">
      <c r="A13" s="151" t="inlineStr">
        <is>
          <t>User Acceptance Testing</t>
        </is>
      </c>
      <c r="B13" s="162" t="n"/>
      <c r="C13" s="166" t="n"/>
      <c r="D13" s="120" t="n"/>
      <c r="E13" s="121" t="n"/>
      <c r="F13" s="121" t="n"/>
      <c r="G13" s="122" t="n"/>
      <c r="H13" s="123" t="n"/>
      <c r="I13" s="121" t="n"/>
      <c r="J13" s="121" t="n"/>
      <c r="K13" s="124" t="n"/>
      <c r="L13" s="120" t="n"/>
      <c r="M13" s="121" t="n"/>
      <c r="N13" s="121" t="n"/>
      <c r="O13" s="122" t="n"/>
      <c r="P13" s="120" t="n"/>
      <c r="Q13" s="121" t="n"/>
      <c r="R13" s="121" t="n"/>
      <c r="S13" s="122" t="n"/>
      <c r="T13" s="120" t="n"/>
      <c r="U13" s="121" t="n"/>
      <c r="V13" s="121" t="n"/>
      <c r="W13" s="122" t="n"/>
    </row>
    <row r="14" ht="33.75" customHeight="1">
      <c r="A14" s="151" t="inlineStr">
        <is>
          <t>Production Server Setting</t>
        </is>
      </c>
      <c r="B14" s="162" t="n"/>
      <c r="C14" s="166" t="n"/>
      <c r="D14" s="120" t="n"/>
      <c r="E14" s="121" t="n"/>
      <c r="F14" s="121" t="n"/>
      <c r="G14" s="122" t="n"/>
      <c r="H14" s="123" t="n"/>
      <c r="I14" s="121" t="n"/>
      <c r="J14" s="121" t="n"/>
      <c r="K14" s="124" t="n"/>
      <c r="L14" s="120" t="n"/>
      <c r="M14" s="121" t="n"/>
      <c r="N14" s="121" t="n"/>
      <c r="O14" s="122" t="n"/>
      <c r="P14" s="120" t="n"/>
      <c r="Q14" s="121" t="n"/>
      <c r="R14" s="121" t="n"/>
      <c r="S14" s="122" t="n"/>
      <c r="T14" s="120" t="n"/>
      <c r="U14" s="121" t="n"/>
      <c r="V14" s="121" t="n"/>
      <c r="W14" s="122" t="n"/>
    </row>
    <row r="15" ht="33.75" customHeight="1">
      <c r="A15" s="151" t="inlineStr">
        <is>
          <t>User Training</t>
        </is>
      </c>
      <c r="B15" s="162" t="n"/>
      <c r="C15" s="166" t="n"/>
      <c r="D15" s="120" t="n"/>
      <c r="E15" s="121" t="n"/>
      <c r="F15" s="121" t="n"/>
      <c r="G15" s="122" t="n"/>
      <c r="H15" s="123" t="n"/>
      <c r="I15" s="121" t="n"/>
      <c r="J15" s="121" t="n"/>
      <c r="K15" s="124" t="n"/>
      <c r="L15" s="120" t="n"/>
      <c r="M15" s="121" t="n"/>
      <c r="N15" s="121" t="n"/>
      <c r="O15" s="122" t="n"/>
      <c r="P15" s="120" t="n"/>
      <c r="Q15" s="121" t="n"/>
      <c r="R15" s="121" t="n"/>
      <c r="S15" s="122" t="n"/>
      <c r="T15" s="120" t="n"/>
      <c r="U15" s="121" t="n"/>
      <c r="V15" s="121" t="n"/>
      <c r="W15" s="122" t="n"/>
    </row>
    <row r="16" ht="33.75" customHeight="1">
      <c r="A16" s="152" t="inlineStr">
        <is>
          <t>Deployment</t>
        </is>
      </c>
      <c r="B16" s="162" t="n"/>
      <c r="C16" s="123" t="n"/>
      <c r="D16" s="120" t="n"/>
      <c r="E16" s="121" t="n"/>
      <c r="F16" s="121" t="n"/>
      <c r="G16" s="122" t="n"/>
      <c r="H16" s="123" t="n"/>
      <c r="I16" s="121" t="n"/>
      <c r="J16" s="121" t="n"/>
      <c r="K16" s="124" t="n"/>
      <c r="L16" s="120" t="n"/>
      <c r="M16" s="121" t="n"/>
      <c r="N16" s="121" t="n"/>
      <c r="O16" s="122" t="n"/>
      <c r="P16" s="120" t="n"/>
      <c r="Q16" s="121" t="n"/>
      <c r="R16" s="121" t="n"/>
      <c r="S16" s="122" t="n"/>
      <c r="T16" s="120" t="n"/>
      <c r="U16" s="121" t="n"/>
      <c r="V16" s="121" t="n"/>
      <c r="W16" s="122" t="n"/>
    </row>
    <row r="17" ht="15" customHeight="1">
      <c r="A17" s="153" t="n"/>
      <c r="B17" s="181" t="n"/>
      <c r="C17" s="133" t="n"/>
      <c r="D17" s="130" t="n"/>
      <c r="E17" s="131" t="n"/>
      <c r="F17" s="131" t="n"/>
      <c r="G17" s="132" t="n"/>
      <c r="H17" s="133" t="n"/>
      <c r="I17" s="131" t="n"/>
      <c r="J17" s="131" t="n"/>
      <c r="K17" s="134" t="n"/>
      <c r="L17" s="130" t="n"/>
      <c r="M17" s="131" t="n"/>
      <c r="N17" s="131" t="n"/>
      <c r="O17" s="132" t="n"/>
      <c r="P17" s="130" t="n"/>
      <c r="Q17" s="131" t="n"/>
      <c r="R17" s="131" t="n"/>
      <c r="S17" s="132" t="n"/>
      <c r="T17" s="130" t="n"/>
      <c r="U17" s="131" t="n"/>
      <c r="V17" s="131" t="n"/>
      <c r="W17" s="132" t="n"/>
    </row>
  </sheetData>
  <mergeCells count="20">
    <mergeCell ref="A12:C12"/>
    <mergeCell ref="A5:C5"/>
    <mergeCell ref="A14:C14"/>
    <mergeCell ref="A8:C8"/>
    <mergeCell ref="A17:C17"/>
    <mergeCell ref="L2:O2"/>
    <mergeCell ref="A4:C4"/>
    <mergeCell ref="A10:C10"/>
    <mergeCell ref="A13:C13"/>
    <mergeCell ref="A9:C9"/>
    <mergeCell ref="A15:C15"/>
    <mergeCell ref="D2:G2"/>
    <mergeCell ref="P2:S2"/>
    <mergeCell ref="A2:C3"/>
    <mergeCell ref="A11:C11"/>
    <mergeCell ref="A6:C6"/>
    <mergeCell ref="H2:K2"/>
    <mergeCell ref="T2:W2"/>
    <mergeCell ref="A7:C7"/>
    <mergeCell ref="A16:C16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BCMM</dc:creator>
  <dc:language>en-US</dc:language>
  <dcterms:created xsi:type="dcterms:W3CDTF">2023-05-17T08:35:34Z</dcterms:created>
  <dcterms:modified xsi:type="dcterms:W3CDTF">2026-08-04T07:33:45Z</dcterms:modified>
  <cp:lastModifiedBy>BCMM146</cp:lastModifiedBy>
  <cp:revision>0</cp:revision>
</cp:coreProperties>
</file>