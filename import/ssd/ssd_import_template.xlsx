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nfa\"/>
    </mc:Choice>
  </mc:AlternateContent>
  <bookViews>
    <workbookView xWindow="0" yWindow="0" windowWidth="19200" windowHeight="5770" tabRatio="599" activeTab="5"/>
  </bookViews>
  <sheets>
    <sheet name="シート説明" sheetId="1" r:id="rId1"/>
    <sheet name="見積総額" sheetId="2" r:id="rId2"/>
    <sheet name="対応方針" sheetId="3" r:id="rId3"/>
    <sheet name="前提条件" sheetId="4" r:id="rId4"/>
    <sheet name="システム構成図" sheetId="5" state="hidden" r:id="rId5"/>
    <sheet name="詳細設計～システムテスト 本番移行" sheetId="6" r:id="rId6"/>
    <sheet name="詳細設計～システムテスト 本番移行_2" sheetId="7" state="hidden" r:id="rId7"/>
    <sheet name="難易度別標準工数" sheetId="8" r:id="rId8"/>
    <sheet name="体制" sheetId="9" r:id="rId9"/>
    <sheet name="成果物" sheetId="10" r:id="rId10"/>
    <sheet name="スケジュール" sheetId="1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a" localSheetId="5">'[1]処分損ﾒﾓ(月次)'!#REF!</definedName>
    <definedName name="\a" localSheetId="6">'[1]処分損ﾒﾓ(月次)'!#REF!</definedName>
    <definedName name="\a">'[1]処分損ﾒﾓ(月次)'!#REF!</definedName>
    <definedName name="_____sum1" localSheetId="6">#REF!</definedName>
    <definedName name="_____sum1">#REF!</definedName>
    <definedName name="____ctb１">'[2]現行DB一覧2(CT)'!$A$2:$E$220</definedName>
    <definedName name="____sum1" localSheetId="5">#REF!</definedName>
    <definedName name="____sum1" localSheetId="6">#REF!</definedName>
    <definedName name="___ctb１">'[2]現行DB一覧2(CT)'!$A$2:$E$220</definedName>
    <definedName name="___sum1" localSheetId="5">#REF!</definedName>
    <definedName name="___sum1" localSheetId="6">#REF!</definedName>
    <definedName name="___sum1">#REF!</definedName>
    <definedName name="__ctb１">'[2]現行DB一覧2(CT)'!$A$2:$E$220</definedName>
    <definedName name="__sum1" localSheetId="5">#REF!</definedName>
    <definedName name="__sum1" localSheetId="6">#REF!</definedName>
    <definedName name="__sum1">#REF!</definedName>
    <definedName name="_1101ドキュメントGGG" localSheetId="6">#REF!,#REF!</definedName>
    <definedName name="_1101ドキュメントGGG">#REF!,#REF!</definedName>
    <definedName name="_1900_01_09" localSheetId="6">#REF!</definedName>
    <definedName name="_1900_01_09">#REF!</definedName>
    <definedName name="_1998_01_01" localSheetId="6">#REF!</definedName>
    <definedName name="_1998_01_01">#REF!</definedName>
    <definedName name="_1998_01_02" localSheetId="6">#REF!</definedName>
    <definedName name="_1998_01_02">#REF!</definedName>
    <definedName name="_1998_01_03" localSheetId="6">#REF!</definedName>
    <definedName name="_1998_01_03">#REF!</definedName>
    <definedName name="_1998_01_04" localSheetId="6">#REF!</definedName>
    <definedName name="_1998_01_04">#REF!</definedName>
    <definedName name="_1998_01_05" localSheetId="6">#REF!</definedName>
    <definedName name="_1998_01_05">#REF!</definedName>
    <definedName name="_1998_01_06" localSheetId="6">#REF!</definedName>
    <definedName name="_1998_01_06">#REF!</definedName>
    <definedName name="_1998_01_07" localSheetId="6">#REF!</definedName>
    <definedName name="_1998_01_07">#REF!</definedName>
    <definedName name="_1998_01_08" localSheetId="6">#REF!</definedName>
    <definedName name="_1998_01_08">#REF!</definedName>
    <definedName name="_1998_01_09" localSheetId="6">#REF!</definedName>
    <definedName name="_1998_01_09">#REF!</definedName>
    <definedName name="_1998_01_10" localSheetId="6">#REF!</definedName>
    <definedName name="_1998_01_10">#REF!</definedName>
    <definedName name="_1998_01_11" localSheetId="6">#REF!</definedName>
    <definedName name="_1998_01_11">#REF!</definedName>
    <definedName name="_1998_01_12" localSheetId="6">#REF!</definedName>
    <definedName name="_1998_01_12">#REF!</definedName>
    <definedName name="_1998_01_13" localSheetId="6">#REF!</definedName>
    <definedName name="_1998_01_13">#REF!</definedName>
    <definedName name="_1998_01_14" localSheetId="6">#REF!</definedName>
    <definedName name="_1998_01_14">#REF!</definedName>
    <definedName name="_1998_01_15" localSheetId="6">#REF!</definedName>
    <definedName name="_1998_01_15">#REF!</definedName>
    <definedName name="_1998_01_16" localSheetId="6">#REF!</definedName>
    <definedName name="_1998_01_16">#REF!</definedName>
    <definedName name="_1998_01_17" localSheetId="6">#REF!</definedName>
    <definedName name="_1998_01_17">#REF!</definedName>
    <definedName name="_1998_01_18" localSheetId="6">#REF!</definedName>
    <definedName name="_1998_01_18">#REF!</definedName>
    <definedName name="_1998_01_19" localSheetId="6">#REF!</definedName>
    <definedName name="_1998_01_19">#REF!</definedName>
    <definedName name="_1998_01_20" localSheetId="6">#REF!</definedName>
    <definedName name="_1998_01_20">#REF!</definedName>
    <definedName name="_1998_01_21" localSheetId="6">#REF!</definedName>
    <definedName name="_1998_01_21">#REF!</definedName>
    <definedName name="_1998_01_22" localSheetId="6">#REF!</definedName>
    <definedName name="_1998_01_22">#REF!</definedName>
    <definedName name="_1998_01_23" localSheetId="6">#REF!</definedName>
    <definedName name="_1998_01_23">#REF!</definedName>
    <definedName name="_1998_01_24" localSheetId="6">#REF!</definedName>
    <definedName name="_1998_01_24">#REF!</definedName>
    <definedName name="_1998_01_25" localSheetId="6">#REF!</definedName>
    <definedName name="_1998_01_25">#REF!</definedName>
    <definedName name="_1998_01_26" localSheetId="6">#REF!</definedName>
    <definedName name="_1998_01_26">#REF!</definedName>
    <definedName name="_1998_01_27" localSheetId="6">#REF!</definedName>
    <definedName name="_1998_01_27">#REF!</definedName>
    <definedName name="_1998_01_28" localSheetId="6">#REF!</definedName>
    <definedName name="_1998_01_28">#REF!</definedName>
    <definedName name="_1998_01_29" localSheetId="6">#REF!</definedName>
    <definedName name="_1998_01_29">#REF!</definedName>
    <definedName name="_1998_01_30" localSheetId="6">#REF!</definedName>
    <definedName name="_1998_01_30">#REF!</definedName>
    <definedName name="_1998_01_31" localSheetId="6">#REF!</definedName>
    <definedName name="_1998_01_31">#REF!</definedName>
    <definedName name="_1998_02_01" localSheetId="6">#REF!</definedName>
    <definedName name="_1998_02_01">#REF!</definedName>
    <definedName name="_1998_02_02" localSheetId="6">#REF!</definedName>
    <definedName name="_1998_02_02">#REF!</definedName>
    <definedName name="_1998_02_03" localSheetId="6">#REF!</definedName>
    <definedName name="_1998_02_03">#REF!</definedName>
    <definedName name="_1998_02_04" localSheetId="6">#REF!</definedName>
    <definedName name="_1998_02_04">#REF!</definedName>
    <definedName name="_1998_02_05" localSheetId="6">#REF!</definedName>
    <definedName name="_1998_02_05">#REF!</definedName>
    <definedName name="_1998_02_06" localSheetId="6">#REF!</definedName>
    <definedName name="_1998_02_06">#REF!</definedName>
    <definedName name="_1998_02_07" localSheetId="6">#REF!</definedName>
    <definedName name="_1998_02_07">#REF!</definedName>
    <definedName name="_1998_02_08" localSheetId="6">#REF!</definedName>
    <definedName name="_1998_02_08">#REF!</definedName>
    <definedName name="_1998_02_09" localSheetId="6">#REF!</definedName>
    <definedName name="_1998_02_09">#REF!</definedName>
    <definedName name="_1998_02_10" localSheetId="6">#REF!</definedName>
    <definedName name="_1998_02_10">#REF!</definedName>
    <definedName name="_1998_02_11" localSheetId="6">#REF!</definedName>
    <definedName name="_1998_02_11">#REF!</definedName>
    <definedName name="_1998_02_12" localSheetId="6">#REF!</definedName>
    <definedName name="_1998_02_12">#REF!</definedName>
    <definedName name="_1998_02_13" localSheetId="6">#REF!</definedName>
    <definedName name="_1998_02_13">#REF!</definedName>
    <definedName name="_1998_02_14" localSheetId="6">#REF!</definedName>
    <definedName name="_1998_02_14">#REF!</definedName>
    <definedName name="_1998_02_15" localSheetId="6">#REF!</definedName>
    <definedName name="_1998_02_15">#REF!</definedName>
    <definedName name="_1998_02_16" localSheetId="6">#REF!</definedName>
    <definedName name="_1998_02_16">#REF!</definedName>
    <definedName name="_1998_02_17" localSheetId="6">#REF!</definedName>
    <definedName name="_1998_02_17">#REF!</definedName>
    <definedName name="_1998_02_18" localSheetId="6">#REF!</definedName>
    <definedName name="_1998_02_18">#REF!</definedName>
    <definedName name="_1998_02_19" localSheetId="6">#REF!</definedName>
    <definedName name="_1998_02_19">#REF!</definedName>
    <definedName name="_1998_02_20" localSheetId="6">#REF!</definedName>
    <definedName name="_1998_02_20">#REF!</definedName>
    <definedName name="_1998_02_21" localSheetId="6">#REF!</definedName>
    <definedName name="_1998_02_21">#REF!</definedName>
    <definedName name="_1998_02_22" localSheetId="6">#REF!</definedName>
    <definedName name="_1998_02_22">#REF!</definedName>
    <definedName name="_1998_02_23" localSheetId="6">#REF!</definedName>
    <definedName name="_1998_02_23">#REF!</definedName>
    <definedName name="_1998_02_24" localSheetId="6">#REF!</definedName>
    <definedName name="_1998_02_24">#REF!</definedName>
    <definedName name="_1998_02_25" localSheetId="6">#REF!</definedName>
    <definedName name="_1998_02_25">#REF!</definedName>
    <definedName name="_1998_02_26" localSheetId="6">#REF!</definedName>
    <definedName name="_1998_02_26">#REF!</definedName>
    <definedName name="_1998_02_27" localSheetId="6">#REF!</definedName>
    <definedName name="_1998_02_27">#REF!</definedName>
    <definedName name="_1998_02_28" localSheetId="6">#REF!</definedName>
    <definedName name="_1998_02_28">#REF!</definedName>
    <definedName name="_1998_03_01" localSheetId="6">#REF!</definedName>
    <definedName name="_1998_03_01">#REF!</definedName>
    <definedName name="_1998_03_02" localSheetId="6">#REF!</definedName>
    <definedName name="_1998_03_02">#REF!</definedName>
    <definedName name="_1998_03_03" localSheetId="6">#REF!</definedName>
    <definedName name="_1998_03_03">#REF!</definedName>
    <definedName name="_1998_03_04" localSheetId="6">#REF!</definedName>
    <definedName name="_1998_03_04">#REF!</definedName>
    <definedName name="_1998_03_05" localSheetId="6">#REF!</definedName>
    <definedName name="_1998_03_05">#REF!</definedName>
    <definedName name="_1998_03_06" localSheetId="6">#REF!</definedName>
    <definedName name="_1998_03_06">#REF!</definedName>
    <definedName name="_1998_03_07" localSheetId="6">#REF!</definedName>
    <definedName name="_1998_03_07">#REF!</definedName>
    <definedName name="_1998_03_08" localSheetId="6">#REF!</definedName>
    <definedName name="_1998_03_08">#REF!</definedName>
    <definedName name="_1998_03_09" localSheetId="6">#REF!</definedName>
    <definedName name="_1998_03_09">#REF!</definedName>
    <definedName name="_1998_03_10" localSheetId="6">#REF!</definedName>
    <definedName name="_1998_03_10">#REF!</definedName>
    <definedName name="_1998_03_11" localSheetId="6">#REF!</definedName>
    <definedName name="_1998_03_11">#REF!</definedName>
    <definedName name="_1998_03_12" localSheetId="6">#REF!</definedName>
    <definedName name="_1998_03_12">#REF!</definedName>
    <definedName name="_1998_03_13" localSheetId="6">#REF!</definedName>
    <definedName name="_1998_03_13">#REF!</definedName>
    <definedName name="_1998_03_14" localSheetId="6">#REF!</definedName>
    <definedName name="_1998_03_14">#REF!</definedName>
    <definedName name="_1998_03_15" localSheetId="6">#REF!</definedName>
    <definedName name="_1998_03_15">#REF!</definedName>
    <definedName name="_1998_03_16" localSheetId="6">#REF!</definedName>
    <definedName name="_1998_03_16">#REF!</definedName>
    <definedName name="_1998_03_17" localSheetId="6">#REF!</definedName>
    <definedName name="_1998_03_17">#REF!</definedName>
    <definedName name="_1998_03_18" localSheetId="6">#REF!</definedName>
    <definedName name="_1998_03_18">#REF!</definedName>
    <definedName name="_1998_03_19" localSheetId="6">#REF!</definedName>
    <definedName name="_1998_03_19">#REF!</definedName>
    <definedName name="_1998_03_20" localSheetId="6">#REF!</definedName>
    <definedName name="_1998_03_20">#REF!</definedName>
    <definedName name="_1998_03_21" localSheetId="6">#REF!</definedName>
    <definedName name="_1998_03_21">#REF!</definedName>
    <definedName name="_1998_03_22" localSheetId="6">#REF!</definedName>
    <definedName name="_1998_03_22">#REF!</definedName>
    <definedName name="_1998_03_23" localSheetId="6">#REF!</definedName>
    <definedName name="_1998_03_23">#REF!</definedName>
    <definedName name="_1998_03_24" localSheetId="6">#REF!</definedName>
    <definedName name="_1998_03_24">#REF!</definedName>
    <definedName name="_1998_03_25" localSheetId="6">#REF!</definedName>
    <definedName name="_1998_03_25">#REF!</definedName>
    <definedName name="_1998_03_26" localSheetId="6">#REF!</definedName>
    <definedName name="_1998_03_26">#REF!</definedName>
    <definedName name="_1998_03_27" localSheetId="6">#REF!</definedName>
    <definedName name="_1998_03_27">#REF!</definedName>
    <definedName name="_1998_03_28" localSheetId="6">#REF!</definedName>
    <definedName name="_1998_03_28">#REF!</definedName>
    <definedName name="_1998_03_29" localSheetId="6">#REF!</definedName>
    <definedName name="_1998_03_29">#REF!</definedName>
    <definedName name="_1998_03_30" localSheetId="6">#REF!</definedName>
    <definedName name="_1998_03_30">#REF!</definedName>
    <definedName name="_1998_03_31" localSheetId="6">#REF!</definedName>
    <definedName name="_1998_03_31">#REF!</definedName>
    <definedName name="_1998_04_01" localSheetId="6">#REF!</definedName>
    <definedName name="_1998_04_01">#REF!</definedName>
    <definedName name="_1998_04_02" localSheetId="6">#REF!</definedName>
    <definedName name="_1998_04_02">#REF!</definedName>
    <definedName name="_1998_04_03" localSheetId="6">#REF!</definedName>
    <definedName name="_1998_04_03">#REF!</definedName>
    <definedName name="_1998_04_04" localSheetId="6">#REF!</definedName>
    <definedName name="_1998_04_04">#REF!</definedName>
    <definedName name="_1998_04_05" localSheetId="6">#REF!</definedName>
    <definedName name="_1998_04_05">#REF!</definedName>
    <definedName name="_1998_04_06" localSheetId="6">#REF!</definedName>
    <definedName name="_1998_04_06">#REF!</definedName>
    <definedName name="_1998_04_07" localSheetId="6">#REF!</definedName>
    <definedName name="_1998_04_07">#REF!</definedName>
    <definedName name="_1998_04_08" localSheetId="6">#REF!</definedName>
    <definedName name="_1998_04_08">#REF!</definedName>
    <definedName name="_1998_04_09" localSheetId="6">#REF!</definedName>
    <definedName name="_1998_04_09">#REF!</definedName>
    <definedName name="_1998_04_10" localSheetId="6">#REF!</definedName>
    <definedName name="_1998_04_10">#REF!</definedName>
    <definedName name="_1998_04_11" localSheetId="6">#REF!</definedName>
    <definedName name="_1998_04_11">#REF!</definedName>
    <definedName name="_1998_04_12" localSheetId="6">#REF!</definedName>
    <definedName name="_1998_04_12">#REF!</definedName>
    <definedName name="_1998_04_13" localSheetId="6">#REF!</definedName>
    <definedName name="_1998_04_13">#REF!</definedName>
    <definedName name="_1998_04_14" localSheetId="6">#REF!</definedName>
    <definedName name="_1998_04_14">#REF!</definedName>
    <definedName name="_1998_04_15" localSheetId="6">#REF!</definedName>
    <definedName name="_1998_04_15">#REF!</definedName>
    <definedName name="_1998_04_16" localSheetId="6">#REF!</definedName>
    <definedName name="_1998_04_16">#REF!</definedName>
    <definedName name="_1998_04_17" localSheetId="6">#REF!</definedName>
    <definedName name="_1998_04_17">#REF!</definedName>
    <definedName name="_1998_04_18" localSheetId="6">#REF!</definedName>
    <definedName name="_1998_04_18">#REF!</definedName>
    <definedName name="_1998_04_19" localSheetId="6">#REF!</definedName>
    <definedName name="_1998_04_19">#REF!</definedName>
    <definedName name="_1998_04_20" localSheetId="6">#REF!</definedName>
    <definedName name="_1998_04_20">#REF!</definedName>
    <definedName name="_1998_04_21" localSheetId="6">#REF!</definedName>
    <definedName name="_1998_04_21">#REF!</definedName>
    <definedName name="_1998_04_22" localSheetId="6">#REF!</definedName>
    <definedName name="_1998_04_22">#REF!</definedName>
    <definedName name="_1998_04_23" localSheetId="6">#REF!</definedName>
    <definedName name="_1998_04_23">#REF!</definedName>
    <definedName name="_1998_04_24" localSheetId="6">#REF!</definedName>
    <definedName name="_1998_04_24">#REF!</definedName>
    <definedName name="_1998_04_25" localSheetId="6">#REF!</definedName>
    <definedName name="_1998_04_25">#REF!</definedName>
    <definedName name="_1998_04_26" localSheetId="6">#REF!</definedName>
    <definedName name="_1998_04_26">#REF!</definedName>
    <definedName name="_1998_04_27" localSheetId="6">#REF!</definedName>
    <definedName name="_1998_04_27">#REF!</definedName>
    <definedName name="_1998_04_28" localSheetId="6">#REF!</definedName>
    <definedName name="_1998_04_28">#REF!</definedName>
    <definedName name="_1998_04_29" localSheetId="6">#REF!</definedName>
    <definedName name="_1998_04_29">#REF!</definedName>
    <definedName name="_1998_04_30" localSheetId="6">#REF!</definedName>
    <definedName name="_1998_04_30">#REF!</definedName>
    <definedName name="_1998_05_01" localSheetId="6">#REF!</definedName>
    <definedName name="_1998_05_01">#REF!</definedName>
    <definedName name="_1998_05_02" localSheetId="6">#REF!</definedName>
    <definedName name="_1998_05_02">#REF!</definedName>
    <definedName name="_1998_05_03" localSheetId="6">#REF!</definedName>
    <definedName name="_1998_05_03">#REF!</definedName>
    <definedName name="_1998_05_04" localSheetId="6">#REF!</definedName>
    <definedName name="_1998_05_04">#REF!</definedName>
    <definedName name="_1998_05_05" localSheetId="6">#REF!</definedName>
    <definedName name="_1998_05_05">#REF!</definedName>
    <definedName name="_1998_05_06" localSheetId="6">#REF!</definedName>
    <definedName name="_1998_05_06">#REF!</definedName>
    <definedName name="_1998_05_07" localSheetId="6">#REF!</definedName>
    <definedName name="_1998_05_07">#REF!</definedName>
    <definedName name="_1998_05_08" localSheetId="6">#REF!</definedName>
    <definedName name="_1998_05_08">#REF!</definedName>
    <definedName name="_1998_05_09" localSheetId="6">#REF!</definedName>
    <definedName name="_1998_05_09">#REF!</definedName>
    <definedName name="_1998_05_10" localSheetId="6">#REF!</definedName>
    <definedName name="_1998_05_10">#REF!</definedName>
    <definedName name="_1998_05_11" localSheetId="6">#REF!</definedName>
    <definedName name="_1998_05_11">#REF!</definedName>
    <definedName name="_1998_05_12" localSheetId="6">#REF!</definedName>
    <definedName name="_1998_05_12">#REF!</definedName>
    <definedName name="_1998_05_13" localSheetId="6">#REF!</definedName>
    <definedName name="_1998_05_13">#REF!</definedName>
    <definedName name="_1998_05_14" localSheetId="6">#REF!</definedName>
    <definedName name="_1998_05_14">#REF!</definedName>
    <definedName name="_1998_05_15" localSheetId="6">#REF!</definedName>
    <definedName name="_1998_05_15">#REF!</definedName>
    <definedName name="_1998_05_16" localSheetId="6">#REF!</definedName>
    <definedName name="_1998_05_16">#REF!</definedName>
    <definedName name="_1998_05_17" localSheetId="6">#REF!</definedName>
    <definedName name="_1998_05_17">#REF!</definedName>
    <definedName name="_1998_05_18" localSheetId="6">#REF!</definedName>
    <definedName name="_1998_05_18">#REF!</definedName>
    <definedName name="_1998_05_19" localSheetId="6">#REF!</definedName>
    <definedName name="_1998_05_19">#REF!</definedName>
    <definedName name="_1998_05_20" localSheetId="6">#REF!</definedName>
    <definedName name="_1998_05_20">#REF!</definedName>
    <definedName name="_1998_05_21" localSheetId="6">#REF!</definedName>
    <definedName name="_1998_05_21">#REF!</definedName>
    <definedName name="_1998_05_22" localSheetId="6">#REF!</definedName>
    <definedName name="_1998_05_22">#REF!</definedName>
    <definedName name="_1998_05_23" localSheetId="6">#REF!</definedName>
    <definedName name="_1998_05_23">#REF!</definedName>
    <definedName name="_1998_05_24" localSheetId="6">#REF!</definedName>
    <definedName name="_1998_05_24">#REF!</definedName>
    <definedName name="_1998_05_25" localSheetId="6">#REF!</definedName>
    <definedName name="_1998_05_25">#REF!</definedName>
    <definedName name="_1998_05_26" localSheetId="6">#REF!</definedName>
    <definedName name="_1998_05_26">#REF!</definedName>
    <definedName name="_1998_05_27" localSheetId="6">#REF!</definedName>
    <definedName name="_1998_05_27">#REF!</definedName>
    <definedName name="_1998_05_28" localSheetId="6">#REF!</definedName>
    <definedName name="_1998_05_28">#REF!</definedName>
    <definedName name="_1998_05_29" localSheetId="6">#REF!</definedName>
    <definedName name="_1998_05_29">#REF!</definedName>
    <definedName name="_1998_05_30" localSheetId="6">#REF!</definedName>
    <definedName name="_1998_05_30">#REF!</definedName>
    <definedName name="_1998_05_31" localSheetId="6">#REF!</definedName>
    <definedName name="_1998_05_31">#REF!</definedName>
    <definedName name="_1998_06_01" localSheetId="6">#REF!</definedName>
    <definedName name="_1998_06_01">#REF!</definedName>
    <definedName name="_1998_06_02" localSheetId="6">#REF!</definedName>
    <definedName name="_1998_06_02">#REF!</definedName>
    <definedName name="_1998_06_03" localSheetId="6">#REF!</definedName>
    <definedName name="_1998_06_03">#REF!</definedName>
    <definedName name="_1998_06_04" localSheetId="6">#REF!</definedName>
    <definedName name="_1998_06_04">#REF!</definedName>
    <definedName name="_1998_06_05" localSheetId="6">#REF!</definedName>
    <definedName name="_1998_06_05">#REF!</definedName>
    <definedName name="_1998_06_06" localSheetId="6">#REF!</definedName>
    <definedName name="_1998_06_06">#REF!</definedName>
    <definedName name="_1998_06_07" localSheetId="6">#REF!</definedName>
    <definedName name="_1998_06_07">#REF!</definedName>
    <definedName name="_1998_06_08" localSheetId="6">#REF!</definedName>
    <definedName name="_1998_06_08">#REF!</definedName>
    <definedName name="_1998_06_09" localSheetId="6">#REF!</definedName>
    <definedName name="_1998_06_09">#REF!</definedName>
    <definedName name="_1998_06_10" localSheetId="6">#REF!</definedName>
    <definedName name="_1998_06_10">#REF!</definedName>
    <definedName name="_1998_06_11" localSheetId="6">#REF!</definedName>
    <definedName name="_1998_06_11">#REF!</definedName>
    <definedName name="_1998_06_12" localSheetId="6">#REF!</definedName>
    <definedName name="_1998_06_12">#REF!</definedName>
    <definedName name="_1998_06_13" localSheetId="6">#REF!</definedName>
    <definedName name="_1998_06_13">#REF!</definedName>
    <definedName name="_1998_06_14" localSheetId="6">#REF!</definedName>
    <definedName name="_1998_06_14">#REF!</definedName>
    <definedName name="_1998_06_15" localSheetId="6">#REF!</definedName>
    <definedName name="_1998_06_15">#REF!</definedName>
    <definedName name="_1998_06_16" localSheetId="6">#REF!</definedName>
    <definedName name="_1998_06_16">#REF!</definedName>
    <definedName name="_1998_06_17" localSheetId="6">#REF!</definedName>
    <definedName name="_1998_06_17">#REF!</definedName>
    <definedName name="_1998_06_18" localSheetId="6">#REF!</definedName>
    <definedName name="_1998_06_18">#REF!</definedName>
    <definedName name="_1998_06_19" localSheetId="6">#REF!</definedName>
    <definedName name="_1998_06_19">#REF!</definedName>
    <definedName name="_1998_06_20" localSheetId="6">#REF!</definedName>
    <definedName name="_1998_06_20">#REF!</definedName>
    <definedName name="_1998_06_21" localSheetId="6">#REF!</definedName>
    <definedName name="_1998_06_21">#REF!</definedName>
    <definedName name="_1998_06_22" localSheetId="6">#REF!</definedName>
    <definedName name="_1998_06_22">#REF!</definedName>
    <definedName name="_1998_06_23" localSheetId="6">#REF!</definedName>
    <definedName name="_1998_06_23">#REF!</definedName>
    <definedName name="_1998_06_24" localSheetId="6">#REF!</definedName>
    <definedName name="_1998_06_24">#REF!</definedName>
    <definedName name="_1998_06_25" localSheetId="6">#REF!</definedName>
    <definedName name="_1998_06_25">#REF!</definedName>
    <definedName name="_1998_06_26" localSheetId="6">#REF!</definedName>
    <definedName name="_1998_06_26">#REF!</definedName>
    <definedName name="_1998_06_27" localSheetId="6">#REF!</definedName>
    <definedName name="_1998_06_27">#REF!</definedName>
    <definedName name="_1998_06_28" localSheetId="6">#REF!</definedName>
    <definedName name="_1998_06_28">#REF!</definedName>
    <definedName name="_1998_06_29" localSheetId="6">#REF!</definedName>
    <definedName name="_1998_06_29">#REF!</definedName>
    <definedName name="_1998_06_30" localSheetId="6">#REF!</definedName>
    <definedName name="_1998_06_30">#REF!</definedName>
    <definedName name="_1998_07_01" localSheetId="6">#REF!</definedName>
    <definedName name="_1998_07_01">#REF!</definedName>
    <definedName name="_1998_07_02" localSheetId="6">#REF!</definedName>
    <definedName name="_1998_07_02">#REF!</definedName>
    <definedName name="_1998_07_03" localSheetId="6">#REF!</definedName>
    <definedName name="_1998_07_03">#REF!</definedName>
    <definedName name="_1998_07_04" localSheetId="6">#REF!</definedName>
    <definedName name="_1998_07_04">#REF!</definedName>
    <definedName name="_1998_07_05" localSheetId="6">#REF!</definedName>
    <definedName name="_1998_07_05">#REF!</definedName>
    <definedName name="_1998_07_06" localSheetId="6">#REF!</definedName>
    <definedName name="_1998_07_06">#REF!</definedName>
    <definedName name="_1998_07_07" localSheetId="6">#REF!</definedName>
    <definedName name="_1998_07_07">#REF!</definedName>
    <definedName name="_1998_07_08" localSheetId="6">#REF!</definedName>
    <definedName name="_1998_07_08">#REF!</definedName>
    <definedName name="_1998_07_09" localSheetId="6">#REF!</definedName>
    <definedName name="_1998_07_09">#REF!</definedName>
    <definedName name="_1998_07_10" localSheetId="6">#REF!</definedName>
    <definedName name="_1998_07_10">#REF!</definedName>
    <definedName name="_1998_07_11" localSheetId="6">#REF!</definedName>
    <definedName name="_1998_07_11">#REF!</definedName>
    <definedName name="_1998_07_12" localSheetId="6">#REF!</definedName>
    <definedName name="_1998_07_12">#REF!</definedName>
    <definedName name="_1998_07_13" localSheetId="6">#REF!</definedName>
    <definedName name="_1998_07_13">#REF!</definedName>
    <definedName name="_1998_07_14" localSheetId="6">#REF!</definedName>
    <definedName name="_1998_07_14">#REF!</definedName>
    <definedName name="_1998_07_15" localSheetId="6">#REF!</definedName>
    <definedName name="_1998_07_15">#REF!</definedName>
    <definedName name="_1998_07_16" localSheetId="6">#REF!</definedName>
    <definedName name="_1998_07_16">#REF!</definedName>
    <definedName name="_1998_07_17" localSheetId="6">#REF!</definedName>
    <definedName name="_1998_07_17">#REF!</definedName>
    <definedName name="_1998_07_18" localSheetId="6">#REF!</definedName>
    <definedName name="_1998_07_18">#REF!</definedName>
    <definedName name="_1998_07_19" localSheetId="6">#REF!</definedName>
    <definedName name="_1998_07_19">#REF!</definedName>
    <definedName name="_1998_07_20" localSheetId="6">#REF!</definedName>
    <definedName name="_1998_07_20">#REF!</definedName>
    <definedName name="_1998_07_21" localSheetId="6">#REF!</definedName>
    <definedName name="_1998_07_21">#REF!</definedName>
    <definedName name="_1998_07_22" localSheetId="6">#REF!</definedName>
    <definedName name="_1998_07_22">#REF!</definedName>
    <definedName name="_1998_07_23" localSheetId="6">#REF!</definedName>
    <definedName name="_1998_07_23">#REF!</definedName>
    <definedName name="_1998_07_24" localSheetId="6">#REF!</definedName>
    <definedName name="_1998_07_24">#REF!</definedName>
    <definedName name="_1998_07_25" localSheetId="6">#REF!</definedName>
    <definedName name="_1998_07_25">#REF!</definedName>
    <definedName name="_1998_07_26" localSheetId="6">#REF!</definedName>
    <definedName name="_1998_07_26">#REF!</definedName>
    <definedName name="_1998_07_27" localSheetId="6">#REF!</definedName>
    <definedName name="_1998_07_27">#REF!</definedName>
    <definedName name="_1998_07_28" localSheetId="6">#REF!</definedName>
    <definedName name="_1998_07_28">#REF!</definedName>
    <definedName name="_1998_07_29" localSheetId="6">#REF!</definedName>
    <definedName name="_1998_07_29">#REF!</definedName>
    <definedName name="_1998_07_30" localSheetId="6">#REF!</definedName>
    <definedName name="_1998_07_30">#REF!</definedName>
    <definedName name="_1998_07_31" localSheetId="6">#REF!</definedName>
    <definedName name="_1998_07_31">#REF!</definedName>
    <definedName name="_1998_08_01" localSheetId="6">#REF!</definedName>
    <definedName name="_1998_08_01">#REF!</definedName>
    <definedName name="_1998_08_02" localSheetId="6">#REF!</definedName>
    <definedName name="_1998_08_02">#REF!</definedName>
    <definedName name="_1998_08_03" localSheetId="6">#REF!</definedName>
    <definedName name="_1998_08_03">#REF!</definedName>
    <definedName name="_1998_08_04" localSheetId="6">#REF!</definedName>
    <definedName name="_1998_08_04">#REF!</definedName>
    <definedName name="_1998_08_05" localSheetId="6">#REF!</definedName>
    <definedName name="_1998_08_05">#REF!</definedName>
    <definedName name="_1998_08_06" localSheetId="6">#REF!</definedName>
    <definedName name="_1998_08_06">#REF!</definedName>
    <definedName name="_1998_08_07" localSheetId="6">#REF!</definedName>
    <definedName name="_1998_08_07">#REF!</definedName>
    <definedName name="_1998_08_08" localSheetId="6">#REF!</definedName>
    <definedName name="_1998_08_08">#REF!</definedName>
    <definedName name="_1998_08_09" localSheetId="6">#REF!</definedName>
    <definedName name="_1998_08_09">#REF!</definedName>
    <definedName name="_1998_08_10" localSheetId="6">#REF!</definedName>
    <definedName name="_1998_08_10">#REF!</definedName>
    <definedName name="_1998_08_11" localSheetId="6">#REF!</definedName>
    <definedName name="_1998_08_11">#REF!</definedName>
    <definedName name="_1998_08_12" localSheetId="6">#REF!</definedName>
    <definedName name="_1998_08_12">#REF!</definedName>
    <definedName name="_1998_08_13" localSheetId="6">#REF!</definedName>
    <definedName name="_1998_08_13">#REF!</definedName>
    <definedName name="_1998_08_14" localSheetId="6">#REF!</definedName>
    <definedName name="_1998_08_14">#REF!</definedName>
    <definedName name="_1998_08_15" localSheetId="6">#REF!</definedName>
    <definedName name="_1998_08_15">#REF!</definedName>
    <definedName name="_1998_08_16" localSheetId="6">#REF!</definedName>
    <definedName name="_1998_08_16">#REF!</definedName>
    <definedName name="_1998_08_17" localSheetId="6">#REF!</definedName>
    <definedName name="_1998_08_17">#REF!</definedName>
    <definedName name="_1998_08_18" localSheetId="6">#REF!</definedName>
    <definedName name="_1998_08_18">#REF!</definedName>
    <definedName name="_1998_08_19" localSheetId="6">#REF!</definedName>
    <definedName name="_1998_08_19">#REF!</definedName>
    <definedName name="_1998_08_20" localSheetId="6">#REF!</definedName>
    <definedName name="_1998_08_20">#REF!</definedName>
    <definedName name="_1998_08_21" localSheetId="6">#REF!</definedName>
    <definedName name="_1998_08_21">#REF!</definedName>
    <definedName name="_1998_08_22" localSheetId="6">#REF!</definedName>
    <definedName name="_1998_08_22">#REF!</definedName>
    <definedName name="_1998_08_23" localSheetId="6">#REF!</definedName>
    <definedName name="_1998_08_23">#REF!</definedName>
    <definedName name="_1998_08_24" localSheetId="6">#REF!</definedName>
    <definedName name="_1998_08_24">#REF!</definedName>
    <definedName name="_1998_08_25" localSheetId="6">#REF!</definedName>
    <definedName name="_1998_08_25">#REF!</definedName>
    <definedName name="_1998_08_26" localSheetId="6">#REF!</definedName>
    <definedName name="_1998_08_26">#REF!</definedName>
    <definedName name="_1998_08_27" localSheetId="6">#REF!</definedName>
    <definedName name="_1998_08_27">#REF!</definedName>
    <definedName name="_1998_08_28" localSheetId="6">#REF!</definedName>
    <definedName name="_1998_08_28">#REF!</definedName>
    <definedName name="_1998_08_29" localSheetId="6">#REF!</definedName>
    <definedName name="_1998_08_29">#REF!</definedName>
    <definedName name="_1998_08_30" localSheetId="6">#REF!</definedName>
    <definedName name="_1998_08_30">#REF!</definedName>
    <definedName name="_1998_08_31" localSheetId="6">#REF!</definedName>
    <definedName name="_1998_08_31">#REF!</definedName>
    <definedName name="_1998_09_01" localSheetId="6">#REF!</definedName>
    <definedName name="_1998_09_01">#REF!</definedName>
    <definedName name="_1998_09_02" localSheetId="6">#REF!</definedName>
    <definedName name="_1998_09_02">#REF!</definedName>
    <definedName name="_1998_09_03" localSheetId="6">#REF!</definedName>
    <definedName name="_1998_09_03">#REF!</definedName>
    <definedName name="_1998_09_04" localSheetId="6">#REF!</definedName>
    <definedName name="_1998_09_04">#REF!</definedName>
    <definedName name="_1998_09_05" localSheetId="6">#REF!</definedName>
    <definedName name="_1998_09_05">#REF!</definedName>
    <definedName name="_1998_09_06" localSheetId="6">#REF!</definedName>
    <definedName name="_1998_09_06">#REF!</definedName>
    <definedName name="_1998_09_07" localSheetId="6">#REF!</definedName>
    <definedName name="_1998_09_07">#REF!</definedName>
    <definedName name="_1998_09_08" localSheetId="6">#REF!</definedName>
    <definedName name="_1998_09_08">#REF!</definedName>
    <definedName name="_1998_09_09" localSheetId="6">#REF!</definedName>
    <definedName name="_1998_09_09">#REF!</definedName>
    <definedName name="_1998_09_10" localSheetId="6">#REF!</definedName>
    <definedName name="_1998_09_10">#REF!</definedName>
    <definedName name="_1998_09_11" localSheetId="6">#REF!</definedName>
    <definedName name="_1998_09_11">#REF!</definedName>
    <definedName name="_1998_09_12" localSheetId="6">#REF!</definedName>
    <definedName name="_1998_09_12">#REF!</definedName>
    <definedName name="_1998_09_13" localSheetId="6">#REF!</definedName>
    <definedName name="_1998_09_13">#REF!</definedName>
    <definedName name="_1998_09_14" localSheetId="6">#REF!</definedName>
    <definedName name="_1998_09_14">#REF!</definedName>
    <definedName name="_1998_09_15" localSheetId="6">#REF!</definedName>
    <definedName name="_1998_09_15">#REF!</definedName>
    <definedName name="_1998_09_16" localSheetId="6">#REF!</definedName>
    <definedName name="_1998_09_16">#REF!</definedName>
    <definedName name="_1998_09_17" localSheetId="6">#REF!</definedName>
    <definedName name="_1998_09_17">#REF!</definedName>
    <definedName name="_1998_09_18" localSheetId="6">#REF!</definedName>
    <definedName name="_1998_09_18">#REF!</definedName>
    <definedName name="_1998_09_19" localSheetId="6">#REF!</definedName>
    <definedName name="_1998_09_19">#REF!</definedName>
    <definedName name="_1998_09_20" localSheetId="6">#REF!</definedName>
    <definedName name="_1998_09_20">#REF!</definedName>
    <definedName name="_1998_09_21" localSheetId="6">#REF!</definedName>
    <definedName name="_1998_09_21">#REF!</definedName>
    <definedName name="_1998_09_22" localSheetId="6">#REF!</definedName>
    <definedName name="_1998_09_22">#REF!</definedName>
    <definedName name="_1998_09_23" localSheetId="6">#REF!</definedName>
    <definedName name="_1998_09_23">#REF!</definedName>
    <definedName name="_1998_09_24" localSheetId="6">#REF!</definedName>
    <definedName name="_1998_09_24">#REF!</definedName>
    <definedName name="_1998_09_25" localSheetId="6">#REF!</definedName>
    <definedName name="_1998_09_25">#REF!</definedName>
    <definedName name="_1998_09_26" localSheetId="6">#REF!</definedName>
    <definedName name="_1998_09_26">#REF!</definedName>
    <definedName name="_1998_09_27" localSheetId="6">#REF!</definedName>
    <definedName name="_1998_09_27">#REF!</definedName>
    <definedName name="_1998_09_28" localSheetId="6">#REF!</definedName>
    <definedName name="_1998_09_28">#REF!</definedName>
    <definedName name="_1998_09_29" localSheetId="6">#REF!</definedName>
    <definedName name="_1998_09_29">#REF!</definedName>
    <definedName name="_1998_09_30" localSheetId="6">#REF!</definedName>
    <definedName name="_1998_09_30">#REF!</definedName>
    <definedName name="_1998_1_1" localSheetId="6">#REF!</definedName>
    <definedName name="_1998_1_1">#REF!</definedName>
    <definedName name="_1998_10_01" localSheetId="6">#REF!</definedName>
    <definedName name="_1998_10_01">#REF!</definedName>
    <definedName name="_1998_10_02" localSheetId="6">#REF!</definedName>
    <definedName name="_1998_10_02">#REF!</definedName>
    <definedName name="_1998_10_03" localSheetId="6">#REF!</definedName>
    <definedName name="_1998_10_03">#REF!</definedName>
    <definedName name="_1998_10_04" localSheetId="6">#REF!</definedName>
    <definedName name="_1998_10_04">#REF!</definedName>
    <definedName name="_1998_10_05" localSheetId="6">#REF!</definedName>
    <definedName name="_1998_10_05">#REF!</definedName>
    <definedName name="_1998_10_06" localSheetId="6">#REF!</definedName>
    <definedName name="_1998_10_06">#REF!</definedName>
    <definedName name="_1998_10_07" localSheetId="6">#REF!</definedName>
    <definedName name="_1998_10_07">#REF!</definedName>
    <definedName name="_1998_10_08" localSheetId="6">#REF!</definedName>
    <definedName name="_1998_10_08">#REF!</definedName>
    <definedName name="_1998_10_09" localSheetId="6">#REF!</definedName>
    <definedName name="_1998_10_09">#REF!</definedName>
    <definedName name="_1998_10_10" localSheetId="6">#REF!</definedName>
    <definedName name="_1998_10_10">#REF!</definedName>
    <definedName name="_1998_10_11" localSheetId="6">#REF!</definedName>
    <definedName name="_1998_10_11">#REF!</definedName>
    <definedName name="_1998_10_12" localSheetId="6">#REF!</definedName>
    <definedName name="_1998_10_12">#REF!</definedName>
    <definedName name="_1998_10_13" localSheetId="6">#REF!</definedName>
    <definedName name="_1998_10_13">#REF!</definedName>
    <definedName name="_1998_10_14" localSheetId="6">#REF!</definedName>
    <definedName name="_1998_10_14">#REF!</definedName>
    <definedName name="_1998_10_15" localSheetId="6">#REF!</definedName>
    <definedName name="_1998_10_15">#REF!</definedName>
    <definedName name="_1998_10_16" localSheetId="6">#REF!</definedName>
    <definedName name="_1998_10_16">#REF!</definedName>
    <definedName name="_1998_10_17" localSheetId="6">#REF!</definedName>
    <definedName name="_1998_10_17">#REF!</definedName>
    <definedName name="_1998_10_18" localSheetId="6">#REF!</definedName>
    <definedName name="_1998_10_18">#REF!</definedName>
    <definedName name="_1998_10_19" localSheetId="6">#REF!</definedName>
    <definedName name="_1998_10_19">#REF!</definedName>
    <definedName name="_1998_10_20" localSheetId="6">#REF!</definedName>
    <definedName name="_1998_10_20">#REF!</definedName>
    <definedName name="_1998_10_21" localSheetId="6">#REF!</definedName>
    <definedName name="_1998_10_21">#REF!</definedName>
    <definedName name="_1998_10_22" localSheetId="6">#REF!</definedName>
    <definedName name="_1998_10_22">#REF!</definedName>
    <definedName name="_1998_10_23" localSheetId="6">#REF!</definedName>
    <definedName name="_1998_10_23">#REF!</definedName>
    <definedName name="_1998_10_24" localSheetId="6">#REF!</definedName>
    <definedName name="_1998_10_24">#REF!</definedName>
    <definedName name="_1998_10_25" localSheetId="6">#REF!</definedName>
    <definedName name="_1998_10_25">#REF!</definedName>
    <definedName name="_1998_10_26" localSheetId="6">#REF!</definedName>
    <definedName name="_1998_10_26">#REF!</definedName>
    <definedName name="_1998_10_27" localSheetId="6">#REF!</definedName>
    <definedName name="_1998_10_27">#REF!</definedName>
    <definedName name="_1998_10_28" localSheetId="6">#REF!</definedName>
    <definedName name="_1998_10_28">#REF!</definedName>
    <definedName name="_1998_10_29" localSheetId="6">#REF!</definedName>
    <definedName name="_1998_10_29">#REF!</definedName>
    <definedName name="_1998_10_30" localSheetId="6">#REF!</definedName>
    <definedName name="_1998_10_30">#REF!</definedName>
    <definedName name="_1998_10_31" localSheetId="6">#REF!</definedName>
    <definedName name="_1998_10_31">#REF!</definedName>
    <definedName name="_1998_11_01" localSheetId="6">#REF!</definedName>
    <definedName name="_1998_11_01">#REF!</definedName>
    <definedName name="_1998_11_02" localSheetId="6">#REF!</definedName>
    <definedName name="_1998_11_02">#REF!</definedName>
    <definedName name="_1998_11_03" localSheetId="6">#REF!</definedName>
    <definedName name="_1998_11_03">#REF!</definedName>
    <definedName name="_1998_11_04" localSheetId="6">#REF!</definedName>
    <definedName name="_1998_11_04">#REF!</definedName>
    <definedName name="_1998_11_05" localSheetId="6">#REF!</definedName>
    <definedName name="_1998_11_05">#REF!</definedName>
    <definedName name="_1998_11_06" localSheetId="6">#REF!</definedName>
    <definedName name="_1998_11_06">#REF!</definedName>
    <definedName name="_1998_11_07" localSheetId="6">#REF!</definedName>
    <definedName name="_1998_11_07">#REF!</definedName>
    <definedName name="_1998_11_08" localSheetId="6">#REF!</definedName>
    <definedName name="_1998_11_08">#REF!</definedName>
    <definedName name="_1998_11_09" localSheetId="6">#REF!</definedName>
    <definedName name="_1998_11_09">#REF!</definedName>
    <definedName name="_1998_11_10" localSheetId="6">#REF!</definedName>
    <definedName name="_1998_11_10">#REF!</definedName>
    <definedName name="_1998_11_11" localSheetId="6">#REF!</definedName>
    <definedName name="_1998_11_11">#REF!</definedName>
    <definedName name="_1998_11_12" localSheetId="6">#REF!</definedName>
    <definedName name="_1998_11_12">#REF!</definedName>
    <definedName name="_1998_11_13" localSheetId="6">#REF!</definedName>
    <definedName name="_1998_11_13">#REF!</definedName>
    <definedName name="_1998_11_14" localSheetId="6">#REF!</definedName>
    <definedName name="_1998_11_14">#REF!</definedName>
    <definedName name="_1998_11_15" localSheetId="6">#REF!</definedName>
    <definedName name="_1998_11_15">#REF!</definedName>
    <definedName name="_1998_11_16" localSheetId="6">#REF!</definedName>
    <definedName name="_1998_11_16">#REF!</definedName>
    <definedName name="_1998_11_17" localSheetId="6">#REF!</definedName>
    <definedName name="_1998_11_17">#REF!</definedName>
    <definedName name="_1998_11_18" localSheetId="6">#REF!</definedName>
    <definedName name="_1998_11_18">#REF!</definedName>
    <definedName name="_1998_11_19" localSheetId="6">#REF!</definedName>
    <definedName name="_1998_11_19">#REF!</definedName>
    <definedName name="_1998_11_20" localSheetId="6">#REF!</definedName>
    <definedName name="_1998_11_20">#REF!</definedName>
    <definedName name="_1998_11_21" localSheetId="6">#REF!</definedName>
    <definedName name="_1998_11_21">#REF!</definedName>
    <definedName name="_1998_11_22" localSheetId="6">#REF!</definedName>
    <definedName name="_1998_11_22">#REF!</definedName>
    <definedName name="_1998_11_23" localSheetId="6">#REF!</definedName>
    <definedName name="_1998_11_23">#REF!</definedName>
    <definedName name="_1998_11_24" localSheetId="6">#REF!</definedName>
    <definedName name="_1998_11_24">#REF!</definedName>
    <definedName name="_1998_11_25" localSheetId="6">#REF!</definedName>
    <definedName name="_1998_11_25">#REF!</definedName>
    <definedName name="_1998_11_26" localSheetId="6">#REF!</definedName>
    <definedName name="_1998_11_26">#REF!</definedName>
    <definedName name="_1998_11_27" localSheetId="6">#REF!</definedName>
    <definedName name="_1998_11_27">#REF!</definedName>
    <definedName name="_1998_11_28" localSheetId="6">#REF!</definedName>
    <definedName name="_1998_11_28">#REF!</definedName>
    <definedName name="_1998_11_29" localSheetId="6">#REF!</definedName>
    <definedName name="_1998_11_29">#REF!</definedName>
    <definedName name="_1998_11_30" localSheetId="6">#REF!</definedName>
    <definedName name="_1998_11_30">#REF!</definedName>
    <definedName name="_1998_12_01" localSheetId="6">#REF!</definedName>
    <definedName name="_1998_12_01">#REF!</definedName>
    <definedName name="_1998_12_02" localSheetId="6">#REF!</definedName>
    <definedName name="_1998_12_02">#REF!</definedName>
    <definedName name="_1998_12_03" localSheetId="6">#REF!</definedName>
    <definedName name="_1998_12_03">#REF!</definedName>
    <definedName name="_1998_12_04" localSheetId="6">#REF!</definedName>
    <definedName name="_1998_12_04">#REF!</definedName>
    <definedName name="_1998_12_05" localSheetId="6">#REF!</definedName>
    <definedName name="_1998_12_05">#REF!</definedName>
    <definedName name="_1998_12_06" localSheetId="6">#REF!</definedName>
    <definedName name="_1998_12_06">#REF!</definedName>
    <definedName name="_1998_12_07" localSheetId="6">#REF!</definedName>
    <definedName name="_1998_12_07">#REF!</definedName>
    <definedName name="_1998_12_08" localSheetId="6">#REF!</definedName>
    <definedName name="_1998_12_08">#REF!</definedName>
    <definedName name="_1998_12_09" localSheetId="6">#REF!</definedName>
    <definedName name="_1998_12_09">#REF!</definedName>
    <definedName name="_1998_12_10" localSheetId="6">#REF!</definedName>
    <definedName name="_1998_12_10">#REF!</definedName>
    <definedName name="_1998_12_11" localSheetId="6">#REF!</definedName>
    <definedName name="_1998_12_11">#REF!</definedName>
    <definedName name="_1998_12_12" localSheetId="6">#REF!</definedName>
    <definedName name="_1998_12_12">#REF!</definedName>
    <definedName name="_1998_12_13" localSheetId="6">#REF!</definedName>
    <definedName name="_1998_12_13">#REF!</definedName>
    <definedName name="_1998_12_14" localSheetId="6">#REF!</definedName>
    <definedName name="_1998_12_14">#REF!</definedName>
    <definedName name="_1998_12_15" localSheetId="6">#REF!</definedName>
    <definedName name="_1998_12_15">#REF!</definedName>
    <definedName name="_1998_12_16" localSheetId="6">#REF!</definedName>
    <definedName name="_1998_12_16">#REF!</definedName>
    <definedName name="_1998_12_17" localSheetId="6">#REF!</definedName>
    <definedName name="_1998_12_17">#REF!</definedName>
    <definedName name="_1998_12_18" localSheetId="6">#REF!</definedName>
    <definedName name="_1998_12_18">#REF!</definedName>
    <definedName name="_1998_12_19" localSheetId="6">#REF!</definedName>
    <definedName name="_1998_12_19">#REF!</definedName>
    <definedName name="_1998_12_20" localSheetId="6">#REF!</definedName>
    <definedName name="_1998_12_20">#REF!</definedName>
    <definedName name="_1998_12_21" localSheetId="6">#REF!</definedName>
    <definedName name="_1998_12_21">#REF!</definedName>
    <definedName name="_1998_12_22" localSheetId="6">#REF!</definedName>
    <definedName name="_1998_12_22">#REF!</definedName>
    <definedName name="_1998_12_23" localSheetId="6">#REF!</definedName>
    <definedName name="_1998_12_23">#REF!</definedName>
    <definedName name="_1998_12_24" localSheetId="6">#REF!</definedName>
    <definedName name="_1998_12_24">#REF!</definedName>
    <definedName name="_1998_12_25" localSheetId="6">#REF!</definedName>
    <definedName name="_1998_12_25">#REF!</definedName>
    <definedName name="_1998_12_26" localSheetId="6">#REF!</definedName>
    <definedName name="_1998_12_26">#REF!</definedName>
    <definedName name="_1998_12_27" localSheetId="6">#REF!</definedName>
    <definedName name="_1998_12_27">#REF!</definedName>
    <definedName name="_1998_12_28" localSheetId="6">#REF!</definedName>
    <definedName name="_1998_12_28">#REF!</definedName>
    <definedName name="_1998_12_29" localSheetId="6">#REF!</definedName>
    <definedName name="_1998_12_29">#REF!</definedName>
    <definedName name="_1998_12_30" localSheetId="6">#REF!</definedName>
    <definedName name="_1998_12_30">#REF!</definedName>
    <definedName name="_1998_12_31" localSheetId="6">#REF!</definedName>
    <definedName name="_1998_12_31">#REF!</definedName>
    <definedName name="_20100AAA" localSheetId="6">#REF!</definedName>
    <definedName name="_20100AAA">#REF!</definedName>
    <definedName name="_a" localSheetId="5">#REF!</definedName>
    <definedName name="_a" localSheetId="6">#REF!</definedName>
    <definedName name="_a">#REF!</definedName>
    <definedName name="_ctb１">'[2]現行DB一覧2(CT)'!$A$2:$E$220</definedName>
    <definedName name="_Fill" localSheetId="6" hidden="1">#REF!</definedName>
    <definedName name="_Fill" hidden="1">#REF!</definedName>
    <definedName name="_Fill_1" localSheetId="6" hidden="1">#REF!</definedName>
    <definedName name="_Fill_1" hidden="1">#REF!</definedName>
    <definedName name="_Fill_4" hidden="1">'[3]#REF'!$DM$10:$DM$90</definedName>
    <definedName name="_Fill2" hidden="1">[4]Sheet2!$DM$10:$DM$90</definedName>
    <definedName name="_Fill4" hidden="1">'[3]#REF'!$DM$10:$DM$90</definedName>
    <definedName name="_xlnm._FilterDatabase" localSheetId="9" hidden="1">成果物!$C$4:$G$37</definedName>
    <definedName name="_xlnm._FilterDatabase" localSheetId="5" hidden="1">'詳細設計～システムテスト 本番移行'!$A$7:$Y$12</definedName>
    <definedName name="_xlnm._FilterDatabase" localSheetId="6" hidden="1">'詳細設計～システムテスト 本番移行_2'!$A$7:$Y$10</definedName>
    <definedName name="_Order1" hidden="1">255</definedName>
    <definedName name="_Regression_X" localSheetId="5" hidden="1">#REF!</definedName>
    <definedName name="_Regression_X" localSheetId="6" hidden="1">#REF!</definedName>
    <definedName name="_Regression_X" hidden="1">#REF!</definedName>
    <definedName name="_sum1" localSheetId="5">#REF!</definedName>
    <definedName name="_sum1" localSheetId="6">#REF!</definedName>
    <definedName name="_sum1">#REF!</definedName>
    <definedName name="_Table1_In1" localSheetId="6" hidden="1">#REF!</definedName>
    <definedName name="_Table1_In1" hidden="1">#REF!</definedName>
    <definedName name="_Table1_Out" localSheetId="6" hidden="1">#REF!</definedName>
    <definedName name="_Table1_Out" hidden="1">#REF!</definedName>
    <definedName name="_Table2_In1" localSheetId="6" hidden="1">#REF!</definedName>
    <definedName name="_Table2_In1" hidden="1">#REF!</definedName>
    <definedName name="_Table2_In2" localSheetId="6" hidden="1">#REF!</definedName>
    <definedName name="_Table2_In2" hidden="1">#REF!</definedName>
    <definedName name="_Table2_Out" localSheetId="6" hidden="1">#REF!</definedName>
    <definedName name="_Table2_Out" hidden="1">#REF!</definedName>
    <definedName name="A">[0]!A</definedName>
    <definedName name="aa" hidden="1">{"'画面仕様'!$C$22:$BY$40","'画面仕様'!$C$28:$BY$39"}</definedName>
    <definedName name="aaa" hidden="1">{"'画面仕様'!$C$22:$BY$40","'画面仕様'!$C$28:$BY$39"}</definedName>
    <definedName name="aaaa" hidden="1">{"'画面仕様'!$C$22:$BY$40","'画面仕様'!$C$28:$BY$39"}</definedName>
    <definedName name="aaaaa" hidden="1">{"'Sheet1'!$A$3:$I$11"}</definedName>
    <definedName name="AccessDatabase" hidden="1">"C:\My Documents\佐川急便\3･21向け設計\マスタ登録\マスタ登録.mdb"</definedName>
    <definedName name="aitesaki" localSheetId="6">#REF!</definedName>
    <definedName name="aitesaki">#REF!</definedName>
    <definedName name="as" hidden="1">{"'画面仕様'!$C$22:$BY$40","'画面仕様'!$C$28:$BY$39"}</definedName>
    <definedName name="asdf" hidden="1">{#N/A,#N/A,FALSE,"１）背景";#N/A,#N/A,FALSE,"２）前提事項";#N/A,#N/A,FALSE,"３）優先順位";#N/A,#N/A,FALSE,"４）改善サマリー";#N/A,#N/A,FALSE,"５）懸念-1";#N/A,#N/A,FALSE,"５）懸念-2";#N/A,#N/A,FALSE,"５）懸念-3";#N/A,#N/A,FALSE,"５）懸念-4";#N/A,#N/A,FALSE,"６）組織図";#N/A,#N/A,FALSE,"６）スケジュール"}</definedName>
    <definedName name="b" hidden="1">{"'Sheet1'!$A$3:$I$11"}</definedName>
    <definedName name="bb" hidden="1">{"'Sheet1'!$A$3:$I$11"}</definedName>
    <definedName name="bbb" hidden="1">{"'画面仕様'!$C$22:$BY$40","'画面仕様'!$C$28:$BY$39"}</definedName>
    <definedName name="bbbb" hidden="1">{"'Sheet1'!$A$3:$I$11"}</definedName>
    <definedName name="BBSコンテンツサマリー情報" localSheetId="6">#REF!</definedName>
    <definedName name="BBSコンテンツサマリー情報">#REF!</definedName>
    <definedName name="BBSコンテンツ情報" localSheetId="6">#REF!</definedName>
    <definedName name="BBSコンテンツ情報">#REF!</definedName>
    <definedName name="BBSマスタサマリー情報" localSheetId="6">#REF!</definedName>
    <definedName name="BBSマスタサマリー情報">#REF!</definedName>
    <definedName name="BBSマスタ情報" localSheetId="6">#REF!</definedName>
    <definedName name="BBSマスタ情報">#REF!</definedName>
    <definedName name="BBS情報" localSheetId="6">#REF!</definedName>
    <definedName name="BBS情報">#REF!</definedName>
    <definedName name="BBS投稿データ管理者情報" localSheetId="6">#REF!</definedName>
    <definedName name="BBS投稿データ管理者情報">#REF!</definedName>
    <definedName name="BBS投稿集計情報" localSheetId="6">#REF!</definedName>
    <definedName name="BBS投稿集計情報">#REF!</definedName>
    <definedName name="BBS投稿集計詳細情報" localSheetId="6">#REF!</definedName>
    <definedName name="BBS投稿集計詳細情報">#REF!</definedName>
    <definedName name="BBS管理者情報" localSheetId="6">#REF!</definedName>
    <definedName name="BBS管理者情報">#REF!</definedName>
    <definedName name="BKUP_MODULE" localSheetId="6">#REF!</definedName>
    <definedName name="BKUP_MODULE">#REF!</definedName>
    <definedName name="BL" localSheetId="6">#REF!</definedName>
    <definedName name="BL">#REF!</definedName>
    <definedName name="carryovermode" localSheetId="6">#REF!</definedName>
    <definedName name="carryovermode">#REF!</definedName>
    <definedName name="ccc" hidden="1">{"'画面仕様'!$C$22:$BY$40","'画面仕様'!$C$28:$BY$39"}</definedName>
    <definedName name="CSVUpDate" localSheetId="0">[5]!CSVUpDate</definedName>
    <definedName name="CSVUpDate" localSheetId="8">[5]!CSVUpDate</definedName>
    <definedName name="CSVUpDate" localSheetId="5">[5]!CSVUpDate</definedName>
    <definedName name="CSVUpDate" localSheetId="6">[5]!CSVUpDate</definedName>
    <definedName name="CSVUpDate">[5]!CSVUpDate</definedName>
    <definedName name="ｄ" localSheetId="6">#REF!</definedName>
    <definedName name="ｄ">#REF!</definedName>
    <definedName name="DATA" localSheetId="6">#REF!</definedName>
    <definedName name="DATA">#REF!</definedName>
    <definedName name="_xlnm.Database" localSheetId="5">[6]PR!#REF!</definedName>
    <definedName name="_xlnm.Database" localSheetId="6">[6]PR!#REF!</definedName>
    <definedName name="_xlnm.Database">[6]PR!#REF!</definedName>
    <definedName name="DB_FILE">[7]マスタシート!$F$3:$F$5</definedName>
    <definedName name="ddd" hidden="1">{"'画面仕様'!$C$22:$BY$40","'画面仕様'!$C$28:$BY$39"}</definedName>
    <definedName name="ddfs" hidden="1">{"'画面仕様'!$C$22:$BY$40","'画面仕様'!$C$28:$BY$39"}</definedName>
    <definedName name="del" localSheetId="6">#REF!</definedName>
    <definedName name="del">#REF!</definedName>
    <definedName name="dff" hidden="1">{"'画面仕様'!$C$22:$BY$40","'画面仕様'!$C$28:$BY$39"}</definedName>
    <definedName name="DISP_CANCEL" localSheetId="6">#REF!</definedName>
    <definedName name="DISP_CANCEL">#REF!</definedName>
    <definedName name="DISP_CLOSE" localSheetId="6">#REF!</definedName>
    <definedName name="DISP_CLOSE">#REF!</definedName>
    <definedName name="DISP_FILE_UPLOAD" localSheetId="6">#REF!</definedName>
    <definedName name="DISP_FILE_UPLOAD">#REF!</definedName>
    <definedName name="DISP_ITEM_MSG_TITLE" localSheetId="6">#REF!</definedName>
    <definedName name="DISP_ITEM_MSG_TITLE">#REF!</definedName>
    <definedName name="DISP_ITEM_SENDER" localSheetId="6">#REF!</definedName>
    <definedName name="DISP_ITEM_SENDER">#REF!</definedName>
    <definedName name="DISP_IZON_MOJI" localSheetId="6">#REF!</definedName>
    <definedName name="DISP_IZON_MOJI">#REF!</definedName>
    <definedName name="DISP_MENU" localSheetId="6">#REF!</definedName>
    <definedName name="DISP_MENU">#REF!</definedName>
    <definedName name="DISP_MENU_ADMIN" localSheetId="6">#REF!</definedName>
    <definedName name="DISP_MENU_ADMIN">#REF!</definedName>
    <definedName name="DISP_MENU_ADMIT" localSheetId="6">#REF!</definedName>
    <definedName name="DISP_MENU_ADMIT">#REF!</definedName>
    <definedName name="DISP_MENU_LIST" localSheetId="6">#REF!</definedName>
    <definedName name="DISP_MENU_LIST">#REF!</definedName>
    <definedName name="DISP_MENU_REGIST" localSheetId="6">#REF!</definedName>
    <definedName name="DISP_MENU_REGIST">#REF!</definedName>
    <definedName name="DISP_MSG_REG_INP" localSheetId="6">#REF!</definedName>
    <definedName name="DISP_MSG_REG_INP">#REF!</definedName>
    <definedName name="DISP_MSG_REG_MENU" localSheetId="6">#REF!</definedName>
    <definedName name="DISP_MSG_REG_MENU">#REF!</definedName>
    <definedName name="DISP_NEXT" localSheetId="6">#REF!</definedName>
    <definedName name="DISP_NEXT">#REF!</definedName>
    <definedName name="DISP_OTOIAWASE" localSheetId="6">#REF!</definedName>
    <definedName name="DISP_OTOIAWASE">#REF!</definedName>
    <definedName name="DISP_REGIST_FLOW_LIST" localSheetId="6">#REF!</definedName>
    <definedName name="DISP_REGIST_FLOW_LIST">#REF!</definedName>
    <definedName name="DISP_REGIST_FLOW_LIST_1" localSheetId="6">#REF!</definedName>
    <definedName name="DISP_REGIST_FLOW_LIST_1">#REF!</definedName>
    <definedName name="DISP_REGIST_FLOW_LIST_2" localSheetId="6">#REF!</definedName>
    <definedName name="DISP_REGIST_FLOW_LIST_2">#REF!</definedName>
    <definedName name="DO_CANCEL_REGIST" localSheetId="6">#REF!</definedName>
    <definedName name="DO_CANCEL_REGIST">#REF!</definedName>
    <definedName name="DO_CANCEL_REGIST_1" localSheetId="6">#REF!</definedName>
    <definedName name="DO_CANCEL_REGIST_1">#REF!</definedName>
    <definedName name="DO_CHANCEL_REGIST" localSheetId="6">#REF!</definedName>
    <definedName name="DO_CHANCEL_REGIST">#REF!</definedName>
    <definedName name="DO_CLOSE" localSheetId="6">#REF!</definedName>
    <definedName name="DO_CLOSE">#REF!</definedName>
    <definedName name="DO_FILE_UPLOAD" localSheetId="6">#REF!</definedName>
    <definedName name="DO_FILE_UPLOAD">#REF!</definedName>
    <definedName name="DO_IZON_MOJI" localSheetId="6">#REF!</definedName>
    <definedName name="DO_IZON_MOJI">#REF!</definedName>
    <definedName name="DO_MENU" localSheetId="6">#REF!</definedName>
    <definedName name="DO_MENU">#REF!</definedName>
    <definedName name="DO_MENU_ADMIN" localSheetId="6">#REF!</definedName>
    <definedName name="DO_MENU_ADMIN">#REF!</definedName>
    <definedName name="DO_MENU_ADMIT" localSheetId="6">#REF!</definedName>
    <definedName name="DO_MENU_ADMIT">#REF!</definedName>
    <definedName name="DO_MENU_LIST" localSheetId="6">#REF!</definedName>
    <definedName name="DO_MENU_LIST">#REF!</definedName>
    <definedName name="DO_MENU_REGIST" localSheetId="6">#REF!</definedName>
    <definedName name="DO_MENU_REGIST">#REF!</definedName>
    <definedName name="DO_NEXT_MSG_REG_INP" localSheetId="6">#REF!</definedName>
    <definedName name="DO_NEXT_MSG_REG_INP">#REF!</definedName>
    <definedName name="DO_OTOIAWASE" localSheetId="6">#REF!</definedName>
    <definedName name="DO_OTOIAWASE">#REF!</definedName>
    <definedName name="eee" hidden="1">{"'画面仕様'!$C$22:$BY$40","'画面仕様'!$C$28:$BY$39"}</definedName>
    <definedName name="execpattern" localSheetId="6">#REF!</definedName>
    <definedName name="execpattern">#REF!</definedName>
    <definedName name="ｆｆ" hidden="1">{"'Sheet1'!$A$3:$I$11"}</definedName>
    <definedName name="fff">[0]!fff</definedName>
    <definedName name="Fill4" hidden="1">'[3]#REF'!$DM$10:$DM$90</definedName>
    <definedName name="finish" localSheetId="0">[8]!finish</definedName>
    <definedName name="finish" localSheetId="8">[8]!finish</definedName>
    <definedName name="finish" localSheetId="5">[8]!finish</definedName>
    <definedName name="finish" localSheetId="6">[8]!finish</definedName>
    <definedName name="finish">[8]!finish</definedName>
    <definedName name="Forcast" localSheetId="6">#REF!</definedName>
    <definedName name="Forcast">#REF!</definedName>
    <definedName name="FUNC" localSheetId="5">#REF!</definedName>
    <definedName name="FUNC" localSheetId="6">#REF!</definedName>
    <definedName name="FUNC">#REF!</definedName>
    <definedName name="GAIYOU">[9]変更日程計画表!$J$4</definedName>
    <definedName name="GOGO" localSheetId="6">#REF!</definedName>
    <definedName name="GOGO">#REF!</definedName>
    <definedName name="GOZEN" localSheetId="6">#REF!</definedName>
    <definedName name="GOZEN">#REF!</definedName>
    <definedName name="HAP" localSheetId="6">#REF!</definedName>
    <definedName name="HAP">#REF!</definedName>
    <definedName name="ＨＤ行">[10]２!$C$1:$AP$5</definedName>
    <definedName name="Henko_64" localSheetId="6">#REF!</definedName>
    <definedName name="Henko_64">#REF!</definedName>
    <definedName name="holidaycalendar" localSheetId="6">#REF!</definedName>
    <definedName name="holidaycalendar">#REF!</definedName>
    <definedName name="holidaymode" localSheetId="6">#REF!</definedName>
    <definedName name="holidaymode">#REF!</definedName>
    <definedName name="holidayshift" localSheetId="6">#REF!</definedName>
    <definedName name="holidayshift">#REF!</definedName>
    <definedName name="HOME" localSheetId="6">#REF!</definedName>
    <definedName name="HOME">#REF!</definedName>
    <definedName name="ＨＯＭＥ１" localSheetId="6">#REF!</definedName>
    <definedName name="ＨＯＭＥ１">#REF!</definedName>
    <definedName name="HTML_CodePage" hidden="1">932</definedName>
    <definedName name="HTML_Control" hidden="1">{"'画面仕様'!$C$22:$BY$40","'画面仕様'!$C$28:$BY$39"}</definedName>
    <definedName name="HTML_Control_2" hidden="1">{"'画面仕様'!$C$22:$BY$40","'画面仕様'!$C$28:$BY$39"}</definedName>
    <definedName name="HTML_Control2" hidden="1">{"'Sheet1'!$A$3:$I$11"}</definedName>
    <definedName name="HTML_Description" hidden="1">""</definedName>
    <definedName name="HTML_Email" hidden="1">""</definedName>
    <definedName name="HTML_Header" hidden="1">"画面仕様"</definedName>
    <definedName name="HTML_LastUpdate" hidden="1">"98/06/24"</definedName>
    <definedName name="HTML_LineAfter" hidden="1">FALSE</definedName>
    <definedName name="HTML_LineBefore" hidden="1">FALSE</definedName>
    <definedName name="HTML_Name" hidden="1">"Network Business Division"</definedName>
    <definedName name="HTML_OBDlg2" hidden="1">TRUE</definedName>
    <definedName name="HTML_OBDlg4" hidden="1">TRUE</definedName>
    <definedName name="HTML_OS" hidden="1">0</definedName>
    <definedName name="HTML_PathFile" hidden="1">"D:\sf\MyHTML.htm"</definedName>
    <definedName name="HTML_Title" hidden="1">"機能仕様(DA-15)"</definedName>
    <definedName name="i" hidden="1">{"'Sheet1'!$A$3:$I$11"}</definedName>
    <definedName name="I_O" localSheetId="6">#REF!</definedName>
    <definedName name="I_O">#REF!</definedName>
    <definedName name="IBD00110チェック仕様" hidden="1">{"'Sheet1'!$A$3:$I$11"}</definedName>
    <definedName name="IBE09000チェック仕様" hidden="1">{"'Sheet1'!$A$3:$I$11"}</definedName>
    <definedName name="icon_max" localSheetId="5">#REF!</definedName>
    <definedName name="icon_max" localSheetId="6">#REF!</definedName>
    <definedName name="icon_max">#REF!</definedName>
    <definedName name="IJKOS" localSheetId="6">#REF!</definedName>
    <definedName name="IJKOS">#REF!</definedName>
    <definedName name="INIT_ITEM" localSheetId="6">#REF!</definedName>
    <definedName name="INIT_ITEM">#REF!</definedName>
    <definedName name="INIT_ITEM_BACK" localSheetId="6">#REF!</definedName>
    <definedName name="INIT_ITEM_BACK">#REF!</definedName>
    <definedName name="INIT_ITEM_EDIT" localSheetId="6">#REF!</definedName>
    <definedName name="INIT_ITEM_EDIT">#REF!</definedName>
    <definedName name="IO" localSheetId="6">#REF!</definedName>
    <definedName name="IO">#REF!</definedName>
    <definedName name="item_comment" localSheetId="6">#REF!</definedName>
    <definedName name="item_comment">#REF!</definedName>
    <definedName name="item_comment2">[11]icf100tb!$A$7:$A$32</definedName>
    <definedName name="item_length" localSheetId="6">#REF!</definedName>
    <definedName name="item_length">#REF!</definedName>
    <definedName name="item_name" localSheetId="6">#REF!</definedName>
    <definedName name="item_name">#REF!</definedName>
    <definedName name="item_type" localSheetId="6">#REF!</definedName>
    <definedName name="item_type">#REF!</definedName>
    <definedName name="job" localSheetId="6">#REF!</definedName>
    <definedName name="job">#REF!</definedName>
    <definedName name="jobcomment" localSheetId="6">#REF!</definedName>
    <definedName name="jobcomment">#REF!</definedName>
    <definedName name="jobname" localSheetId="6">#REF!</definedName>
    <definedName name="jobname">#REF!</definedName>
    <definedName name="jobnetcomment" localSheetId="6">#REF!</definedName>
    <definedName name="jobnetcomment">#REF!</definedName>
    <definedName name="jobnetname" localSheetId="6">#REF!</definedName>
    <definedName name="jobnetname">#REF!</definedName>
    <definedName name="JOBNETNAME_LST" localSheetId="6">#REF!</definedName>
    <definedName name="JOBNETNAME_LST">#REF!</definedName>
    <definedName name="KANRI_NO">[9]変更日程計画表!$J$2</definedName>
    <definedName name="l" hidden="1">{"'Sheet1'!$A$3:$I$11"}</definedName>
    <definedName name="LINK_CLOSE" localSheetId="6">#REF!</definedName>
    <definedName name="LINK_CLOSE">#REF!</definedName>
    <definedName name="LINK_MENU_ADMIN" localSheetId="6">#REF!</definedName>
    <definedName name="LINK_MENU_ADMIN">#REF!</definedName>
    <definedName name="LINK_MENU_ADMIT" localSheetId="6">#REF!</definedName>
    <definedName name="LINK_MENU_ADMIT">#REF!</definedName>
    <definedName name="LINK_MENU_LIST" localSheetId="6">#REF!</definedName>
    <definedName name="LINK_MENU_LIST">#REF!</definedName>
    <definedName name="LINK_MENU_REGIST" localSheetId="6">#REF!</definedName>
    <definedName name="LINK_MENU_REGIST">#REF!</definedName>
    <definedName name="LINK_TOP_MENU" localSheetId="6">#REF!</definedName>
    <definedName name="LINK_TOP_MENU">#REF!</definedName>
    <definedName name="LOGIN_USER" localSheetId="6">#REF!</definedName>
    <definedName name="LOGIN_USER">#REF!</definedName>
    <definedName name="LT" localSheetId="6">#REF!</definedName>
    <definedName name="LT">#REF!</definedName>
    <definedName name="MAIN_TITLE" localSheetId="6">#REF!</definedName>
    <definedName name="MAIN_TITLE">#REF!</definedName>
    <definedName name="member">[12]まとめ2!$B$6:$B$24</definedName>
    <definedName name="MES" localSheetId="6">#REF!</definedName>
    <definedName name="MES">#REF!</definedName>
    <definedName name="messagemode" localSheetId="6">#REF!</definedName>
    <definedName name="messagemode">#REF!</definedName>
    <definedName name="messagename" localSheetId="6">#REF!</definedName>
    <definedName name="messagename">#REF!</definedName>
    <definedName name="monthlydate" localSheetId="6">#REF!</definedName>
    <definedName name="monthlydate">#REF!</definedName>
    <definedName name="monthlyweek" localSheetId="6">#REF!</definedName>
    <definedName name="monthlyweek">#REF!</definedName>
    <definedName name="msgonly" localSheetId="6">#REF!</definedName>
    <definedName name="msgonly">#REF!</definedName>
    <definedName name="msgonlymode" localSheetId="6">#REF!</definedName>
    <definedName name="msgonlymode">#REF!</definedName>
    <definedName name="n" localSheetId="6">#REF!</definedName>
    <definedName name="n">#REF!</definedName>
    <definedName name="nnn">[0]!nnn</definedName>
    <definedName name="not_null" localSheetId="6">#REF!</definedName>
    <definedName name="not_null">#REF!</definedName>
    <definedName name="now">[13]tmp!$D$6</definedName>
    <definedName name="NULL制約">[14]tmp!$U$4:$U$5</definedName>
    <definedName name="o" hidden="1">{#N/A,#N/A,FALSE,"１）背景";#N/A,#N/A,FALSE,"２）前提事項";#N/A,#N/A,FALSE,"３）優先順位";#N/A,#N/A,FALSE,"４）改善サマリー";#N/A,#N/A,FALSE,"５）懸念-1";#N/A,#N/A,FALSE,"５）懸念-2";#N/A,#N/A,FALSE,"５）懸念-3";#N/A,#N/A,FALSE,"５）懸念-4";#N/A,#N/A,FALSE,"６）組織図";#N/A,#N/A,FALSE,"６）スケジュール"}</definedName>
    <definedName name="offsetday" localSheetId="6">#REF!</definedName>
    <definedName name="offsetday">#REF!</definedName>
    <definedName name="offsetmode" localSheetId="6">#REF!</definedName>
    <definedName name="offsetmode">#REF!</definedName>
    <definedName name="OnOff検索のみ" localSheetId="0">[15]!OnOff検索のみ</definedName>
    <definedName name="OnOff検索のみ" localSheetId="8">[15]!OnOff検索のみ</definedName>
    <definedName name="OnOff検索のみ" localSheetId="5">[15]!OnOff検索のみ</definedName>
    <definedName name="OnOff検索のみ" localSheetId="6">[15]!OnOff検索のみ</definedName>
    <definedName name="OnOff検索のみ">[15]!OnOff検索のみ</definedName>
    <definedName name="pc">"グループ 260"</definedName>
    <definedName name="PGMID">'[16]SUBPGM一覧(参照用)'!$B$2:$B$265</definedName>
    <definedName name="PO" localSheetId="6">#REF!</definedName>
    <definedName name="PO">#REF!</definedName>
    <definedName name="powermode" localSheetId="6">#REF!</definedName>
    <definedName name="powermode">#REF!</definedName>
    <definedName name="_xlnm.Print_Area" localSheetId="5">'詳細設計～システムテスト 本番移行'!$A$1:$X$70</definedName>
    <definedName name="_xlnm.Print_Area" localSheetId="6">'詳細設計～システムテスト 本番移行_2'!$A$1:$X$70</definedName>
    <definedName name="_xlnm.Print_Titles" localSheetId="5">'詳細設計～システムテスト 本番移行'!$5:$7</definedName>
    <definedName name="_xlnm.Print_Titles" localSheetId="6">'詳細設計～システムテスト 本番移行_2'!$5:$7</definedName>
    <definedName name="PrintForm" localSheetId="0">[8]!PrintForm</definedName>
    <definedName name="PrintForm" localSheetId="8">[8]!PrintForm</definedName>
    <definedName name="PrintForm" localSheetId="5">[8]!PrintForm</definedName>
    <definedName name="PrintForm" localSheetId="6">[8]!PrintForm</definedName>
    <definedName name="PrintForm">[8]!PrintForm</definedName>
    <definedName name="pro" localSheetId="5">#REF!</definedName>
    <definedName name="pro" localSheetId="6">#REF!</definedName>
    <definedName name="pro">#REF!</definedName>
    <definedName name="projectname" localSheetId="6">#REF!</definedName>
    <definedName name="projectname">#REF!</definedName>
    <definedName name="Proposal" localSheetId="6">#REF!</definedName>
    <definedName name="Proposal">#REF!</definedName>
    <definedName name="PU" localSheetId="6">#REF!</definedName>
    <definedName name="PU">#REF!</definedName>
    <definedName name="Q000_営業組織ブロックマスタ抽出" localSheetId="6">#REF!</definedName>
    <definedName name="Q000_営業組織ブロックマスタ抽出">#REF!</definedName>
    <definedName name="Record1">[0]!Record1</definedName>
    <definedName name="ReplaceColumn" localSheetId="0">[15]!ReplaceColumn</definedName>
    <definedName name="ReplaceColumn" localSheetId="8">[15]!ReplaceColumn</definedName>
    <definedName name="ReplaceColumn" localSheetId="5">[15]!ReplaceColumn</definedName>
    <definedName name="ReplaceColumn" localSheetId="6">[15]!ReplaceColumn</definedName>
    <definedName name="ReplaceColumn">[15]!ReplaceColumn</definedName>
    <definedName name="rere" hidden="1">{"'画面仕様'!$C$22:$BY$40","'画面仕様'!$C$28:$BY$39"}</definedName>
    <definedName name="REST" localSheetId="6">#REF!</definedName>
    <definedName name="REST">#REF!</definedName>
    <definedName name="S" localSheetId="5">#REF!</definedName>
    <definedName name="S" localSheetId="6">#REF!</definedName>
    <definedName name="S">#REF!</definedName>
    <definedName name="SaftyStock" localSheetId="6">#REF!</definedName>
    <definedName name="SaftyStock">#REF!</definedName>
    <definedName name="SCR_MENU" localSheetId="6">#REF!</definedName>
    <definedName name="SCR_MENU">#REF!</definedName>
    <definedName name="SCR_MENU_ADMIN" localSheetId="6">#REF!</definedName>
    <definedName name="SCR_MENU_ADMIN">#REF!</definedName>
    <definedName name="SCR_MENU_ADMIT" localSheetId="6">#REF!</definedName>
    <definedName name="SCR_MENU_ADMIT">#REF!</definedName>
    <definedName name="SCR_MENU_LIST" localSheetId="6">#REF!</definedName>
    <definedName name="SCR_MENU_LIST">#REF!</definedName>
    <definedName name="SCR_MENU_REGIST" localSheetId="6">#REF!</definedName>
    <definedName name="SCR_MENU_REGIST">#REF!</definedName>
    <definedName name="SCR_MSG_REG_INP" localSheetId="6">#REF!</definedName>
    <definedName name="SCR_MSG_REG_INP">#REF!</definedName>
    <definedName name="SCR_MSG_REG_MENU" localSheetId="6">#REF!</definedName>
    <definedName name="SCR_MSG_REG_MENU">#REF!</definedName>
    <definedName name="SCR_TOP" localSheetId="5">#REF!</definedName>
    <definedName name="SCR_TOP" localSheetId="6">#REF!</definedName>
    <definedName name="SCR_TOP">#REF!</definedName>
    <definedName name="SCR_TOP_MENU" localSheetId="6">#REF!</definedName>
    <definedName name="SCR_TOP_MENU">#REF!</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servername" localSheetId="6">#REF!</definedName>
    <definedName name="servername">#REF!</definedName>
    <definedName name="SG" localSheetId="5">[17]ﾌﾟﾛｸﾞﾗﾑ一覧!#REF!</definedName>
    <definedName name="SG" localSheetId="6">[17]ﾌﾟﾛｸﾞﾗﾑ一覧!#REF!</definedName>
    <definedName name="SG">[17]ﾌﾟﾛｸﾞﾗﾑ一覧!#REF!</definedName>
    <definedName name="SH" localSheetId="5">[17]ﾌﾟﾛｸﾞﾗﾑ一覧!#REF!</definedName>
    <definedName name="SH" localSheetId="6">[17]ﾌﾟﾛｸﾞﾗﾑ一覧!#REF!</definedName>
    <definedName name="SH">[17]ﾌﾟﾛｸﾞﾗﾑ一覧!#REF!</definedName>
    <definedName name="SH5XNEW" localSheetId="5">'[1]処分損ﾒﾓ(月次)'!#REF!</definedName>
    <definedName name="SH5XNEW" localSheetId="6">'[1]処分損ﾒﾓ(月次)'!#REF!</definedName>
    <definedName name="SH5XNEW">'[1]処分損ﾒﾓ(月次)'!#REF!</definedName>
    <definedName name="shiftlimit" localSheetId="6">#REF!</definedName>
    <definedName name="shiftlimit">#REF!</definedName>
    <definedName name="shouhin" localSheetId="6">#REF!</definedName>
    <definedName name="shouhin">#REF!</definedName>
    <definedName name="SI" localSheetId="5">[17]ﾌﾟﾛｸﾞﾗﾑ一覧!#REF!</definedName>
    <definedName name="SI" localSheetId="6">[17]ﾌﾟﾛｸﾞﾗﾑ一覧!#REF!</definedName>
    <definedName name="SI">[17]ﾌﾟﾛｸﾞﾗﾑ一覧!#REF!</definedName>
    <definedName name="SJ" localSheetId="5">[17]ﾌﾟﾛｸﾞﾗﾑ一覧!#REF!</definedName>
    <definedName name="SJ" localSheetId="6">[17]ﾌﾟﾛｸﾞﾗﾑ一覧!#REF!</definedName>
    <definedName name="SJ">[17]ﾌﾟﾛｸﾞﾗﾑ一覧!#REF!</definedName>
    <definedName name="Sort.Sort">[0]!Sort.Sort</definedName>
    <definedName name="SS" localSheetId="6">#REF!</definedName>
    <definedName name="SS">#REF!</definedName>
    <definedName name="ｓｓｓ" hidden="1">'[18]#REF'!$EY$9:$FB$39</definedName>
    <definedName name="start" localSheetId="6">#REF!</definedName>
    <definedName name="start">#REF!</definedName>
    <definedName name="start1" localSheetId="6">#REF!</definedName>
    <definedName name="start1">#REF!</definedName>
    <definedName name="start2" localSheetId="6">#REF!</definedName>
    <definedName name="start2">#REF!</definedName>
    <definedName name="starttime" localSheetId="6">#REF!</definedName>
    <definedName name="starttime">#REF!</definedName>
    <definedName name="Stock" localSheetId="6">#REF!</definedName>
    <definedName name="Stock">#REF!</definedName>
    <definedName name="StockPlan" localSheetId="6">#REF!</definedName>
    <definedName name="StockPlan">#REF!</definedName>
    <definedName name="SUBSUBSYSTEMID" localSheetId="6">#REF!</definedName>
    <definedName name="SUBSUBSYSTEMID">#REF!</definedName>
    <definedName name="SUB名称">'[16]SUBPGM一覧(参照用)'!$C$2:$C$265</definedName>
    <definedName name="SuiSuiカード・ＪＣＢ利用明細データ抽出_DataCSVDownLoad01" localSheetId="5">#REF!</definedName>
    <definedName name="SuiSuiカード・ＪＣＢ利用明細データ抽出_DataCSVDownLoad01" localSheetId="6">#REF!</definedName>
    <definedName name="SuiSuiカード・ＪＣＢ利用明細データ抽出_DataCSVDownLoad01">#REF!</definedName>
    <definedName name="SuiSuiカード・カード利用明細データ抽出_DataCSVDownLoad01" localSheetId="5">#REF!</definedName>
    <definedName name="SuiSuiカード・カード利用明細データ抽出_DataCSVDownLoad01" localSheetId="6">#REF!</definedName>
    <definedName name="SuiSuiカード・カード利用明細データ抽出_DataCSVDownLoad01">#REF!</definedName>
    <definedName name="SuiSuiカード・カード利用明細分割データ抽出_DataCSVDownLoad01" localSheetId="5">#REF!</definedName>
    <definedName name="SuiSuiカード・カード利用明細分割データ抽出_DataCSVDownLoad01" localSheetId="6">#REF!</definedName>
    <definedName name="SuiSuiカード・カード利用明細分割データ抽出_DataCSVDownLoad01">#REF!</definedName>
    <definedName name="SuiSuiカード・交通還元データ抽出_DataCSVDownLoad01" localSheetId="5">#REF!</definedName>
    <definedName name="SuiSuiカード・交通還元データ抽出_DataCSVDownLoad01" localSheetId="6">#REF!</definedName>
    <definedName name="SuiSuiカード・交通還元データ抽出_DataCSVDownLoad01">#REF!</definedName>
    <definedName name="SuiSuiカード・利用明細選択" localSheetId="5">#REF!</definedName>
    <definedName name="SuiSuiカード・利用明細選択" localSheetId="6">#REF!</definedName>
    <definedName name="SuiSuiカード・利用明細選択">#REF!</definedName>
    <definedName name="SuiSuiカード・利用限度額_未承認一覧" localSheetId="5">#REF!</definedName>
    <definedName name="SuiSuiカード・利用限度額_未承認一覧" localSheetId="6">#REF!</definedName>
    <definedName name="SuiSuiカード・利用限度額_未承認一覧">#REF!</definedName>
    <definedName name="SuiSuiカード・営サポCメニュー" localSheetId="5">#REF!</definedName>
    <definedName name="SuiSuiカード・営サポCメニュー" localSheetId="6">#REF!</definedName>
    <definedName name="SuiSuiカード・営サポCメニュー">#REF!</definedName>
    <definedName name="SuiSuiカード・営サポCメニュー_Menu02" localSheetId="5">#REF!</definedName>
    <definedName name="SuiSuiカード・営サポCメニュー_Menu02" localSheetId="6">#REF!</definedName>
    <definedName name="SuiSuiカード・営サポCメニュー_Menu02">#REF!</definedName>
    <definedName name="SuiSuiカード・営サポCメニュー_Menu02__SLV営サポ" localSheetId="5">#REF!</definedName>
    <definedName name="SuiSuiカード・営サポCメニュー_Menu02__SLV営サポ" localSheetId="6">#REF!</definedName>
    <definedName name="SuiSuiカード・営サポCメニュー_Menu02__SLV営サポ">#REF!</definedName>
    <definedName name="SuiSuiカード・営サポCメニュー_SLI営サポ" localSheetId="5">#REF!</definedName>
    <definedName name="SuiSuiカード・営サポCメニュー_SLI営サポ" localSheetId="6">#REF!</definedName>
    <definedName name="SuiSuiカード・営サポCメニュー_SLI営サポ">#REF!</definedName>
    <definedName name="SuiSuiカード・営サポCメニューSWI" localSheetId="5">#REF!</definedName>
    <definedName name="SuiSuiカード・営サポCメニューSWI" localSheetId="6">#REF!</definedName>
    <definedName name="SuiSuiカード・営サポCメニューSWI">#REF!</definedName>
    <definedName name="SuiSuiカード・営サポＣ精算データ抽出_DataCSVDownLoad01" localSheetId="5">#REF!</definedName>
    <definedName name="SuiSuiカード・営サポＣ精算データ抽出_DataCSVDownLoad01" localSheetId="6">#REF!</definedName>
    <definedName name="SuiSuiカード・営サポＣ精算データ抽出_DataCSVDownLoad01">#REF!</definedName>
    <definedName name="SuiSuiカード・引落_未承認一覧" localSheetId="5">#REF!</definedName>
    <definedName name="SuiSuiカード・引落_未承認一覧" localSheetId="6">#REF!</definedName>
    <definedName name="SuiSuiカード・引落_未承認一覧">#REF!</definedName>
    <definedName name="SuiSuiカード・立替精算メニュー" localSheetId="5">#REF!</definedName>
    <definedName name="SuiSuiカード・立替精算メニュー" localSheetId="6">#REF!</definedName>
    <definedName name="SuiSuiカード・立替精算メニュー">#REF!</definedName>
    <definedName name="SuiSuiカード・精算入力_高速・ガソリン・駐車場_データ抽出_DataCSVDownLoad01" localSheetId="5">#REF!</definedName>
    <definedName name="SuiSuiカード・精算入力_高速・ガソリン・駐車場_データ抽出_DataCSVDownLoad01" localSheetId="6">#REF!</definedName>
    <definedName name="SuiSuiカード・精算入力_高速・ガソリン・駐車場_データ抽出_DataCSVDownLoad01">#REF!</definedName>
    <definedName name="SuiSuiカード・精算入力データ抽出_DataCSVDownLoad01" localSheetId="5">#REF!</definedName>
    <definedName name="SuiSuiカード・精算入力データ抽出_DataCSVDownLoad01" localSheetId="6">#REF!</definedName>
    <definedName name="SuiSuiカード・精算入力データ抽出_DataCSVDownLoad01">#REF!</definedName>
    <definedName name="SW" localSheetId="6">#REF!</definedName>
    <definedName name="SW">#REF!</definedName>
    <definedName name="SYSTEM_ID">[9]変更日程計画表!$J$3</definedName>
    <definedName name="SYSTEM_NAME">[9]変更日程計画表!$L$3</definedName>
    <definedName name="tbl_name" localSheetId="6">#REF!</definedName>
    <definedName name="tbl_name">#REF!</definedName>
    <definedName name="test">[19]区分値!$N$3:$N$9</definedName>
    <definedName name="test3" localSheetId="6">#REF!</definedName>
    <definedName name="test3">#REF!</definedName>
    <definedName name="TITLE">[9]変更日程計画表!$C$4</definedName>
    <definedName name="TO_CLOSE" localSheetId="6">#REF!</definedName>
    <definedName name="TO_CLOSE">#REF!</definedName>
    <definedName name="TO_TOP_MENU" localSheetId="6">#REF!</definedName>
    <definedName name="TO_TOP_MENU">#REF!</definedName>
    <definedName name="TOTAL1" localSheetId="6">#REF!</definedName>
    <definedName name="TOTAL1">#REF!</definedName>
    <definedName name="TOTAL2" localSheetId="6">#REF!</definedName>
    <definedName name="TOTAL2">#REF!</definedName>
    <definedName name="ｔｔｔ" localSheetId="6" hidden="1">#REF!</definedName>
    <definedName name="ｔｔｔ" hidden="1">#REF!</definedName>
    <definedName name="txkc010" localSheetId="6">#REF!</definedName>
    <definedName name="txkc010">#REF!</definedName>
    <definedName name="txkc020" localSheetId="6">#REF!</definedName>
    <definedName name="txkc020">#REF!</definedName>
    <definedName name="type">[20]tmp!$N$6:$N$21</definedName>
    <definedName name="Update_Data" localSheetId="0">[21]!Update_Data</definedName>
    <definedName name="Update_Data" localSheetId="8">[21]!Update_Data</definedName>
    <definedName name="Update_Data" localSheetId="5">[21]!Update_Data</definedName>
    <definedName name="Update_Data" localSheetId="6">[21]!Update_Data</definedName>
    <definedName name="Update_Data">[21]!Update_Data</definedName>
    <definedName name="URM_ID" localSheetId="5">#REF!</definedName>
    <definedName name="URM_ID" localSheetId="6">#REF!</definedName>
    <definedName name="URM_ID">#REF!</definedName>
    <definedName name="UUCPポイント" localSheetId="6">#REF!</definedName>
    <definedName name="UUCPポイント">#REF!</definedName>
    <definedName name="workmemo">'[22]設定シート (実装ベース)'!$B$5:$B$15</definedName>
    <definedName name="WRITEDATE" localSheetId="6">#REF!</definedName>
    <definedName name="WRITEDATE">#REF!</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x" localSheetId="0">[23]!x</definedName>
    <definedName name="x" localSheetId="8">[23]!x</definedName>
    <definedName name="x" localSheetId="5">[23]!x</definedName>
    <definedName name="x" localSheetId="6">[23]!x</definedName>
    <definedName name="x">[23]!x</definedName>
    <definedName name="xxx" hidden="1">{"'画面仕様'!$C$22:$BY$40","'画面仕様'!$C$28:$BY$39"}</definedName>
    <definedName name="あ">[0]!あ</definedName>
    <definedName name="ああ" localSheetId="6">#REF!</definedName>
    <definedName name="ああ">#REF!</definedName>
    <definedName name="あああ" hidden="1">{"'Sheet1'!$A$3:$I$11"}</definedName>
    <definedName name="アンケート入力項目" localSheetId="6">#REF!</definedName>
    <definedName name="アンケート入力項目">#REF!</definedName>
    <definedName name="インデックス" localSheetId="6">#REF!</definedName>
    <definedName name="インデックス">#REF!</definedName>
    <definedName name="えええ" hidden="1">{"'Sheet1'!$A$3:$I$11"}</definedName>
    <definedName name="ええええ">[0]!ええええ</definedName>
    <definedName name="エラー種別">[7]マスタシート!$L$3:$L$6</definedName>
    <definedName name="オートシェイプ80" localSheetId="6">#REF!</definedName>
    <definedName name="オートシェイプ80">#REF!</definedName>
    <definedName name="オートシェイプ81" localSheetId="6">#REF!</definedName>
    <definedName name="オートシェイプ81">#REF!</definedName>
    <definedName name="カード入会確認" localSheetId="5">#REF!</definedName>
    <definedName name="カード入会確認" localSheetId="6">#REF!</definedName>
    <definedName name="カード入会確認">#REF!</definedName>
    <definedName name="カード利用全明細" localSheetId="5">#REF!</definedName>
    <definedName name="カード利用全明細" localSheetId="6">#REF!</definedName>
    <definedName name="カード利用全明細">#REF!</definedName>
    <definedName name="カード利用全明細_経理セ" localSheetId="5">#REF!</definedName>
    <definedName name="カード利用全明細_経理セ" localSheetId="6">#REF!</definedName>
    <definedName name="カード利用全明細_経理セ">#REF!</definedName>
    <definedName name="カード利用明細分割" localSheetId="5">#REF!</definedName>
    <definedName name="カード利用明細分割" localSheetId="6">#REF!</definedName>
    <definedName name="カード利用明細分割">#REF!</definedName>
    <definedName name="カード利用限度額変更" localSheetId="5">#REF!</definedName>
    <definedName name="カード利用限度額変更" localSheetId="6">#REF!</definedName>
    <definedName name="カード利用限度額変更">#REF!</definedName>
    <definedName name="カード引落_一括_承認申請書" localSheetId="5">#REF!</definedName>
    <definedName name="カード引落_一括_承認申請書" localSheetId="6">#REF!</definedName>
    <definedName name="カード引落_一括_承認申請書">#REF!</definedName>
    <definedName name="カード引落_伝票一括アップロード入力__SuiSuiCardKouzaHikiotoshiIkkatsuUpload" localSheetId="5">#REF!</definedName>
    <definedName name="カード引落_伝票一括アップロード入力__SuiSuiCardKouzaHikiotoshiIkkatsuUpload" localSheetId="6">#REF!</definedName>
    <definedName name="カード引落_伝票一括アップロード入力__SuiSuiCardKouzaHikiotoshiIkkatsuUpload">#REF!</definedName>
    <definedName name="カード引落_新規内容確認" localSheetId="5">#REF!</definedName>
    <definedName name="カード引落_新規内容確認" localSheetId="6">#REF!</definedName>
    <definedName name="カード引落_新規内容確認">#REF!</definedName>
    <definedName name="カード引落入力" localSheetId="5">#REF!</definedName>
    <definedName name="カード引落入力" localSheetId="6">#REF!</definedName>
    <definedName name="カード引落入力">#REF!</definedName>
    <definedName name="カード引落承認申請書" localSheetId="5">#REF!</definedName>
    <definedName name="カード引落承認申請書" localSheetId="6">#REF!</definedName>
    <definedName name="カード引落承認申請書">#REF!</definedName>
    <definedName name="カレンダー" localSheetId="5">#REF!</definedName>
    <definedName name="カレンダー" localSheetId="6">#REF!</definedName>
    <definedName name="カレンダー">#REF!</definedName>
    <definedName name="キャッシング状況照会_CashingJokyoShokai01" localSheetId="5">#REF!</definedName>
    <definedName name="キャッシング状況照会_CashingJokyoShokai01" localSheetId="6">#REF!</definedName>
    <definedName name="キャッシング状況照会_CashingJokyoShokai01">#REF!</definedName>
    <definedName name="キャッシング状況照会_経理セ" localSheetId="5">#REF!</definedName>
    <definedName name="キャッシング状況照会_経理セ" localSheetId="6">#REF!</definedName>
    <definedName name="キャッシング状況照会_経理セ">#REF!</definedName>
    <definedName name="キャンペーンコンテンツテンプレート" localSheetId="6">#REF!</definedName>
    <definedName name="キャンペーンコンテンツテンプレート">#REF!</definedName>
    <definedName name="キャンペーンコンテンツ情報" localSheetId="6">#REF!</definedName>
    <definedName name="キャンペーンコンテンツ情報">#REF!</definedName>
    <definedName name="キャンペーンマスタアンケート情報" localSheetId="6">#REF!</definedName>
    <definedName name="キャンペーンマスタアンケート情報">#REF!</definedName>
    <definedName name="キャンペーンマスタプロフィール情報" localSheetId="6">#REF!</definedName>
    <definedName name="キャンペーンマスタプロフィール情報">#REF!</definedName>
    <definedName name="キャンペーンマスタ作成情報" localSheetId="6">#REF!</definedName>
    <definedName name="キャンペーンマスタ作成情報">#REF!</definedName>
    <definedName name="キャンペーンマスタ基本情報" localSheetId="6">#REF!</definedName>
    <definedName name="キャンペーンマスタ基本情報">#REF!</definedName>
    <definedName name="キャンペーンマスタ情報" localSheetId="6">#REF!</definedName>
    <definedName name="キャンペーンマスタ情報">#REF!</definedName>
    <definedName name="キャンペーンマスタ更新情報" localSheetId="6">#REF!</definedName>
    <definedName name="キャンペーンマスタ更新情報">#REF!</definedName>
    <definedName name="キャンペーンマスタ確認メール情報" localSheetId="6">#REF!</definedName>
    <definedName name="キャンペーンマスタ確認メール情報">#REF!</definedName>
    <definedName name="キャンペーンマスタ確認メール更新情報" localSheetId="6">#REF!</definedName>
    <definedName name="キャンペーンマスタ確認メール更新情報">#REF!</definedName>
    <definedName name="キャンペーンマスタ連動情報" localSheetId="6">#REF!</definedName>
    <definedName name="キャンペーンマスタ連動情報">#REF!</definedName>
    <definedName name="キャンペーン利用可能ドメイン情報" localSheetId="6">#REF!</definedName>
    <definedName name="キャンペーン利用可能ドメイン情報">#REF!</definedName>
    <definedName name="キャンペーン応募集計情報" localSheetId="6">#REF!</definedName>
    <definedName name="キャンペーン応募集計情報">#REF!</definedName>
    <definedName name="キャンペーン応募集計詳細情報" localSheetId="6">#REF!</definedName>
    <definedName name="キャンペーン応募集計詳細情報">#REF!</definedName>
    <definedName name="キャンペーン情報" localSheetId="6">#REF!</definedName>
    <definedName name="キャンペーン情報">#REF!</definedName>
    <definedName name="キャンペーン管理者情報" localSheetId="6">#REF!</definedName>
    <definedName name="キャンペーン管理者情報">#REF!</definedName>
    <definedName name="クエリ1" localSheetId="6">#REF!</definedName>
    <definedName name="クエリ1">#REF!</definedName>
    <definedName name="クエリ2" localSheetId="6">#REF!</definedName>
    <definedName name="クエリ2">#REF!</definedName>
    <definedName name="クエリ6" localSheetId="6">#REF!</definedName>
    <definedName name="クエリ6">#REF!</definedName>
    <definedName name="ｻｲﾄ" localSheetId="6">#REF!</definedName>
    <definedName name="ｻｲﾄ">#REF!</definedName>
    <definedName name="ささ" hidden="1">{"'Sheet1'!$A$3:$I$11"}</definedName>
    <definedName name="サブシステム" localSheetId="5">#REF!</definedName>
    <definedName name="サブシステム" localSheetId="6">#REF!</definedName>
    <definedName name="サブシステム">#REF!</definedName>
    <definedName name="サブシステムＩＤ" localSheetId="6">#REF!</definedName>
    <definedName name="サブシステムＩＤ">#REF!</definedName>
    <definedName name="サンプル" localSheetId="6">#REF!</definedName>
    <definedName name="サンプル">#REF!</definedName>
    <definedName name="シート" localSheetId="6">#REF!</definedName>
    <definedName name="シート">#REF!</definedName>
    <definedName name="ｼｽﾃﾑID" localSheetId="6">#REF!</definedName>
    <definedName name="ｼｽﾃﾑID">#REF!</definedName>
    <definedName name="スコープ" localSheetId="6">#REF!</definedName>
    <definedName name="スコープ">#REF!</definedName>
    <definedName name="ステータス">[24]区分値!$B$6:$B$10</definedName>
    <definedName name="ｽﾃｰﾀｽ2" localSheetId="6">#REF!</definedName>
    <definedName name="ｽﾃｰﾀｽ2">#REF!</definedName>
    <definedName name="セッション表示">[0]!セッション表示</definedName>
    <definedName name="タイプ" localSheetId="6">#REF!</definedName>
    <definedName name="タイプ">#REF!</definedName>
    <definedName name="タスク">[25]設定画面!$E$7:$E$12</definedName>
    <definedName name="タスク１">[25]設定画面!$E$7</definedName>
    <definedName name="チェッカータイプ" localSheetId="6">#REF!</definedName>
    <definedName name="チェッカータイプ">#REF!</definedName>
    <definedName name="チェック種別">[7]マスタシート!$J$3:$J$7</definedName>
    <definedName name="チャネル">[26]区分値!$N$3:$N$9</definedName>
    <definedName name="でｒｈがｓｄｒｆｇ" localSheetId="6" hidden="1">#REF!</definedName>
    <definedName name="でｒｈがｓｄｒｆｇ" hidden="1">#REF!</definedName>
    <definedName name="データ型">[27]master!$D$2:$D$7</definedName>
    <definedName name="デフォルト値" localSheetId="6">#REF!</definedName>
    <definedName name="デフォルト値">#REF!</definedName>
    <definedName name="ﾄﾞｷｭﾒﾝﾄNO." localSheetId="6">#REF!</definedName>
    <definedName name="ﾄﾞｷｭﾒﾝﾄNO.">#REF!</definedName>
    <definedName name="パターン名称登録画面" localSheetId="5">#REF!</definedName>
    <definedName name="パターン名称登録画面" localSheetId="6">#REF!</definedName>
    <definedName name="パターン名称登録画面">#REF!</definedName>
    <definedName name="ビジネス口座マスタ" localSheetId="5">#REF!</definedName>
    <definedName name="ビジネス口座マスタ" localSheetId="6">#REF!</definedName>
    <definedName name="ビジネス口座マスタ">#REF!</definedName>
    <definedName name="ビジネス口座マスタ_修正" localSheetId="5">#REF!</definedName>
    <definedName name="ビジネス口座マスタ_修正" localSheetId="6">#REF!</definedName>
    <definedName name="ビジネス口座マスタ_修正">#REF!</definedName>
    <definedName name="メールマガジンコンテンツ情報" localSheetId="6">#REF!</definedName>
    <definedName name="メールマガジンコンテンツ情報">#REF!</definedName>
    <definedName name="メールマガジンテスト用投稿情報" localSheetId="6">#REF!</definedName>
    <definedName name="メールマガジンテスト用投稿情報">#REF!</definedName>
    <definedName name="メールマガジンマスタサマリー情報" localSheetId="6">#REF!</definedName>
    <definedName name="メールマガジンマスタサマリー情報">#REF!</definedName>
    <definedName name="メールマガジン日別サマリー情報" localSheetId="6">#REF!</definedName>
    <definedName name="メールマガジン日別サマリー情報">#REF!</definedName>
    <definedName name="メールマガジン日別詳細情報" localSheetId="6">#REF!</definedName>
    <definedName name="メールマガジン日別詳細情報">#REF!</definedName>
    <definedName name="メールマガジン時刻別サマリー情報" localSheetId="6">#REF!</definedName>
    <definedName name="メールマガジン時刻別サマリー情報">#REF!</definedName>
    <definedName name="メールマガジン時刻別詳細情報" localSheetId="6">#REF!</definedName>
    <definedName name="メールマガジン時刻別詳細情報">#REF!</definedName>
    <definedName name="レート指定区分">[26]区分値!$F$3:$F$5</definedName>
    <definedName name="レコード名称" localSheetId="6">#REF!</definedName>
    <definedName name="レコード名称">#REF!</definedName>
    <definedName name="ﾚﾋﾞｭｰ密度基準値" localSheetId="6">#REF!</definedName>
    <definedName name="ﾚﾋﾞｭｰ密度基準値">#REF!</definedName>
    <definedName name="ﾚﾋﾞｭｰ密度目標値" localSheetId="6">#REF!</definedName>
    <definedName name="ﾚﾋﾞｭｰ密度目標値">#REF!</definedName>
    <definedName name="一般Gの人_伝票種類区分" localSheetId="5">[28]区分値!#REF!</definedName>
    <definedName name="一般Gの人_伝票種類区分" localSheetId="6">[28]区分値!#REF!</definedName>
    <definedName name="一般Gの人_伝票種類区分">[28]区分値!#REF!</definedName>
    <definedName name="一覧照会_修正・取消" localSheetId="5">#REF!</definedName>
    <definedName name="一覧照会_修正・取消" localSheetId="6">#REF!</definedName>
    <definedName name="一覧照会_修正・取消">#REF!</definedName>
    <definedName name="一覧照会_修正・取消___経理セ" localSheetId="5">#REF!</definedName>
    <definedName name="一覧照会_修正・取消___経理セ" localSheetId="6">#REF!</definedName>
    <definedName name="一覧照会_修正・取消___経理セ">#REF!</definedName>
    <definedName name="丸め精度" localSheetId="6">#REF!</definedName>
    <definedName name="丸め精度">#REF!</definedName>
    <definedName name="事業所" localSheetId="6">#REF!</definedName>
    <definedName name="事業所">#REF!</definedName>
    <definedName name="交通系ＩＣカード・利用明細データ抽出_DataCSVDownLoad01" localSheetId="5">#REF!</definedName>
    <definedName name="交通系ＩＣカード・利用明細データ抽出_DataCSVDownLoad01" localSheetId="6">#REF!</definedName>
    <definedName name="交通系ＩＣカード・利用明細データ抽出_DataCSVDownLoad01">#REF!</definedName>
    <definedName name="仕訳_共通_仕訳作成YMD">'[29]仕訳作成（BA）010-014'!$E$49</definedName>
    <definedName name="仕訳_共通_複数指定">'[29]仕訳作成（BA）010-014'!$E$69</definedName>
    <definedName name="仕訳_共通_集計仕訳">'[29]仕訳作成（BA）010-014'!$E$47</definedName>
    <definedName name="仕訳_変更">'[29]仕訳作成（BA）010-014'!$B$223</definedName>
    <definedName name="仕訳_計上">'[29]仕訳作成（BA）010-014'!$B$138</definedName>
    <definedName name="仕訳_除却">'[29]仕訳作成（BA）010-014'!$B$196</definedName>
    <definedName name="仮単価発注" hidden="1">{"'Sheet1'!$A$3:$I$11"}</definedName>
    <definedName name="休暇">[30]全員!$L$4:$L$5</definedName>
    <definedName name="会社補填__カード_で精算した分" localSheetId="5">#REF!</definedName>
    <definedName name="会社補填__カード_で精算した分" localSheetId="6">#REF!</definedName>
    <definedName name="会社補填__カード_で精算した分">#REF!</definedName>
    <definedName name="会社補填_現金分" localSheetId="5">#REF!</definedName>
    <definedName name="会社補填_現金分" localSheetId="6">#REF!</definedName>
    <definedName name="会社補填_現金分">#REF!</definedName>
    <definedName name="会社補填カード_現金__経理セ" localSheetId="5">#REF!</definedName>
    <definedName name="会社補填カード_現金__経理セ" localSheetId="6">#REF!</definedName>
    <definedName name="会社補填カード_現金__経理セ">#REF!</definedName>
    <definedName name="会社補填カード_経理セ" localSheetId="5">#REF!</definedName>
    <definedName name="会社補填カード_経理セ" localSheetId="6">#REF!</definedName>
    <definedName name="会社補填カード_経理セ">#REF!</definedName>
    <definedName name="伝票発行理由">[26]区分値!$D$3:$D$8</definedName>
    <definedName name="伝票種類区分">[26]区分値!$B$3:$B$10</definedName>
    <definedName name="住所情報" localSheetId="6">#REF!</definedName>
    <definedName name="住所情報">#REF!</definedName>
    <definedName name="体制・スケジュール" hidden="1">{"'Sheet1'!$A$3:$I$11"}</definedName>
    <definedName name="個人別メール受信設定_MailReceptionSetting01" localSheetId="5">#REF!</definedName>
    <definedName name="個人別メール受信設定_MailReceptionSetting01" localSheetId="6">#REF!</definedName>
    <definedName name="個人別メール受信設定_MailReceptionSetting01">#REF!</definedName>
    <definedName name="個人立替精算___DA___KojinTatekaeSeisanPartner01" localSheetId="5">#REF!</definedName>
    <definedName name="個人立替精算___DA___KojinTatekaeSeisanPartner01" localSheetId="6">#REF!</definedName>
    <definedName name="個人立替精算___DA___KojinTatekaeSeisanPartner01">#REF!</definedName>
    <definedName name="個人立替精算___DP___KojinTatekaeSeisanPartner01" localSheetId="5">#REF!</definedName>
    <definedName name="個人立替精算___DP___KojinTatekaeSeisanPartner01" localSheetId="6">#REF!</definedName>
    <definedName name="個人立替精算___DP___KojinTatekaeSeisanPartner01">#REF!</definedName>
    <definedName name="個人立替精算___FMA___KojinTatekaeSeisanPartner01" localSheetId="5">#REF!</definedName>
    <definedName name="個人立替精算___FMA___KojinTatekaeSeisanPartner01" localSheetId="6">#REF!</definedName>
    <definedName name="個人立替精算___FMA___KojinTatekaeSeisanPartner01">#REF!</definedName>
    <definedName name="個人立替精算___FMP___KojinTatekaeSeisanPartner01" localSheetId="5">#REF!</definedName>
    <definedName name="個人立替精算___FMP___KojinTatekaeSeisanPartner01" localSheetId="6">#REF!</definedName>
    <definedName name="個人立替精算___FMP___KojinTatekaeSeisanPartner01">#REF!</definedName>
    <definedName name="個人立替精算___FQP___KojinTatekaeSeisanPartner01" localSheetId="5">#REF!</definedName>
    <definedName name="個人立替精算___FQP___KojinTatekaeSeisanPartner01" localSheetId="6">#REF!</definedName>
    <definedName name="個人立替精算___FQP___KojinTatekaeSeisanPartner01">#REF!</definedName>
    <definedName name="個人立替精算___HMP___KojinTatekaeSeisanPartner01" localSheetId="5">#REF!</definedName>
    <definedName name="個人立替精算___HMP___KojinTatekaeSeisanPartner01" localSheetId="6">#REF!</definedName>
    <definedName name="個人立替精算___HMP___KojinTatekaeSeisanPartner01">#REF!</definedName>
    <definedName name="個人立替精算___MA___KojinTatekaeSeisanPartner01" localSheetId="5">#REF!</definedName>
    <definedName name="個人立替精算___MA___KojinTatekaeSeisanPartner01" localSheetId="6">#REF!</definedName>
    <definedName name="個人立替精算___MA___KojinTatekaeSeisanPartner01">#REF!</definedName>
    <definedName name="個人立替精算___MP___KojinTatekaeSeisanPartner01" localSheetId="5">#REF!</definedName>
    <definedName name="個人立替精算___MP___KojinTatekaeSeisanPartner01" localSheetId="6">#REF!</definedName>
    <definedName name="個人立替精算___MP___KojinTatekaeSeisanPartner01">#REF!</definedName>
    <definedName name="個人立替精算___SF___KojinTatekaeSeisanPartner01" localSheetId="5">#REF!</definedName>
    <definedName name="個人立替精算___SF___KojinTatekaeSeisanPartner01" localSheetId="6">#REF!</definedName>
    <definedName name="個人立替精算___SF___KojinTatekaeSeisanPartner01">#REF!</definedName>
    <definedName name="個人立替精算___SLI___KojinTatekaeSeisanShainEtc01" localSheetId="5">#REF!</definedName>
    <definedName name="個人立替精算___SLI___KojinTatekaeSeisanShainEtc01" localSheetId="6">#REF!</definedName>
    <definedName name="個人立替精算___SLI___KojinTatekaeSeisanShainEtc01">#REF!</definedName>
    <definedName name="個人立替精算___ＳＬＩ社員その他___KojinTatekaeSeisanShainEtc01" localSheetId="5">#REF!</definedName>
    <definedName name="個人立替精算___ＳＬＩ社員その他___KojinTatekaeSeisanShainEtc01" localSheetId="6">#REF!</definedName>
    <definedName name="個人立替精算___ＳＬＩ社員その他___KojinTatekaeSeisanShainEtc01">#REF!</definedName>
    <definedName name="個人立替精算___ＳＷＩ社員その他___KojinTatekaeSeisanShainEtc01" localSheetId="5">#REF!</definedName>
    <definedName name="個人立替精算___ＳＷＩ社員その他___KojinTatekaeSeisanShainEtc01" localSheetId="6">#REF!</definedName>
    <definedName name="個人立替精算___ＳＷＩ社員その他___KojinTatekaeSeisanShainEtc01">#REF!</definedName>
    <definedName name="個人立替精算_修正_ＳＬＩ社員その他___KojinTatekaeSeisanShainEtc01" localSheetId="5">#REF!</definedName>
    <definedName name="個人立替精算_修正_ＳＬＩ社員その他___KojinTatekaeSeisanShainEtc01" localSheetId="6">#REF!</definedName>
    <definedName name="個人立替精算_修正_ＳＬＩ社員その他___KojinTatekaeSeisanShainEtc01">#REF!</definedName>
    <definedName name="債務支払明細_APGDSWRK" localSheetId="6">#REF!</definedName>
    <definedName name="債務支払明細_APGDSWRK">#REF!</definedName>
    <definedName name="債務計上ヘッダー_APGDHWRK" localSheetId="6">#REF!</definedName>
    <definedName name="債務計上ヘッダー_APGDHWRK">#REF!</definedName>
    <definedName name="債務計上明細_APGDDWRK" localSheetId="5">#REF!</definedName>
    <definedName name="債務計上明細_APGDDWRK" localSheetId="6">#REF!</definedName>
    <definedName name="債務計上明細_APGDDWRK">#REF!</definedName>
    <definedName name="優先度">[24]区分値!$A$6:$A$9</definedName>
    <definedName name="入出力区分" localSheetId="6">#REF!</definedName>
    <definedName name="入出力区分">#REF!</definedName>
    <definedName name="入力コンポーネント" localSheetId="6">#REF!</definedName>
    <definedName name="入力コンポーネント">#REF!</definedName>
    <definedName name="入力部署決定" localSheetId="5">#REF!</definedName>
    <definedName name="入力部署決定" localSheetId="6">#REF!</definedName>
    <definedName name="入力部署決定">#REF!</definedName>
    <definedName name="八C" localSheetId="6">#REF!</definedName>
    <definedName name="八C">#REF!</definedName>
    <definedName name="処理タイプ">[7]マスタシート!$B$3:$B$9</definedName>
    <definedName name="処理状況">[24]区分値!$D$6:$D$10</definedName>
    <definedName name="分類">[31]選択リスト!$A$2:$A$7</definedName>
    <definedName name="分類語" localSheetId="6">#REF!</definedName>
    <definedName name="分類語">#REF!</definedName>
    <definedName name="分類語_日本語" localSheetId="6">#REF!</definedName>
    <definedName name="分類語_日本語">#REF!</definedName>
    <definedName name="初期情報" localSheetId="6">#REF!</definedName>
    <definedName name="初期情報">#REF!</definedName>
    <definedName name="勤務年">[32]基本情報!$B$2</definedName>
    <definedName name="勤務月">'[33]作業日誌５週 '!$B$3</definedName>
    <definedName name="区分">[34]tmp!$J$6:$J$8</definedName>
    <definedName name="区分リスト" localSheetId="6">#REF!</definedName>
    <definedName name="区分リスト">#REF!</definedName>
    <definedName name="単価" localSheetId="6">#REF!</definedName>
    <definedName name="単価">#REF!</definedName>
    <definedName name="印刷終了.PrintForm" localSheetId="0">[21]!印刷終了.PrintForm</definedName>
    <definedName name="印刷終了.PrintForm" localSheetId="8">[21]!印刷終了.PrintForm</definedName>
    <definedName name="印刷終了.PrintForm" localSheetId="5">[21]!印刷終了.PrintForm</definedName>
    <definedName name="印刷終了.PrintForm" localSheetId="6">[21]!印刷終了.PrintForm</definedName>
    <definedName name="印刷終了.PrintForm">[21]!印刷終了.PrintForm</definedName>
    <definedName name="取込_共通_複数指定">'[29]情報取込（BA）001-004'!$C$31</definedName>
    <definedName name="取込_変更">'[29]情報取込（BA）001-004'!$B$217</definedName>
    <definedName name="取込_変更_繰延期間">'[29]情報取込（BA）001-004'!$E$255</definedName>
    <definedName name="取込_変更_複数指定">'[29]情報取込（BA）001-004'!$E$258</definedName>
    <definedName name="取込_計上">'[29]情報取込（BA）001-004'!$B$43</definedName>
    <definedName name="取込_除却">'[29]情報取込（BA）001-004'!$B$131</definedName>
    <definedName name="型" localSheetId="6">#REF!</definedName>
    <definedName name="型">#REF!</definedName>
    <definedName name="基本情報" localSheetId="6">#REF!</definedName>
    <definedName name="基本情報">#REF!</definedName>
    <definedName name="外DATA" localSheetId="6">#REF!</definedName>
    <definedName name="外DATA">#REF!</definedName>
    <definedName name="実施層" localSheetId="6">#REF!</definedName>
    <definedName name="実施層">#REF!</definedName>
    <definedName name="山Ｄ" localSheetId="6">#REF!</definedName>
    <definedName name="山Ｄ">#REF!</definedName>
    <definedName name="工程進捗管理表構築以外" localSheetId="5">#REF!</definedName>
    <definedName name="工程進捗管理表構築以外" localSheetId="6">#REF!</definedName>
    <definedName name="工程進捗管理表構築以外">#REF!</definedName>
    <definedName name="承認依頼一覧選択画面" localSheetId="5">#REF!</definedName>
    <definedName name="承認依頼一覧選択画面" localSheetId="6">#REF!</definedName>
    <definedName name="承認依頼一覧選択画面">#REF!</definedName>
    <definedName name="承認申請書_立替精算" localSheetId="5">#REF!</definedName>
    <definedName name="承認申請書_立替精算" localSheetId="6">#REF!</definedName>
    <definedName name="承認申請書_立替精算">#REF!</definedName>
    <definedName name="承認申請書発行指示__SLV営サポ" localSheetId="5">#REF!</definedName>
    <definedName name="承認申請書発行指示__SLV営サポ" localSheetId="6">#REF!</definedName>
    <definedName name="承認申請書発行指示__SLV営サポ">#REF!</definedName>
    <definedName name="承認申請書発行指示_KojinTatekaeDenpyoHakkoShiji01" localSheetId="5">#REF!</definedName>
    <definedName name="承認申請書発行指示_KojinTatekaeDenpyoHakkoShiji01" localSheetId="6">#REF!</definedName>
    <definedName name="承認申請書発行指示_KojinTatekaeDenpyoHakkoShiji01">#REF!</definedName>
    <definedName name="承認申請書発行指示SWI" localSheetId="5">#REF!</definedName>
    <definedName name="承認申請書発行指示SWI" localSheetId="6">#REF!</definedName>
    <definedName name="承認申請書発行指示SWI">#REF!</definedName>
    <definedName name="承認申請書立替精算" localSheetId="5">#REF!</definedName>
    <definedName name="承認申請書立替精算" localSheetId="6">#REF!</definedName>
    <definedName name="承認申請書立替精算">#REF!</definedName>
    <definedName name="承認申請書立替精算SWI" localSheetId="5">#REF!</definedName>
    <definedName name="承認申請書立替精算SWI" localSheetId="6">#REF!</definedName>
    <definedName name="承認申請書立替精算SWI">#REF!</definedName>
    <definedName name="投稿サマリー情報" localSheetId="6">#REF!</definedName>
    <definedName name="投稿サマリー情報">#REF!</definedName>
    <definedName name="投稿情報" localSheetId="6">#REF!</definedName>
    <definedName name="投稿情報">#REF!</definedName>
    <definedName name="担当者" localSheetId="5">[35]区分マスタ!#REF!</definedName>
    <definedName name="担当者" localSheetId="6">[35]区分マスタ!#REF!</definedName>
    <definedName name="担当者">[35]区分マスタ!#REF!</definedName>
    <definedName name="指摘数管理表１">[0]!指摘数管理表１</definedName>
    <definedName name="指摘率基準値" localSheetId="6">#REF!</definedName>
    <definedName name="指摘率基準値">#REF!</definedName>
    <definedName name="指摘率目標値" localSheetId="6">#REF!</definedName>
    <definedName name="指摘率目標値">#REF!</definedName>
    <definedName name="接続先" localSheetId="6">#REF!</definedName>
    <definedName name="接続先">#REF!</definedName>
    <definedName name="接続先２" localSheetId="6">#REF!</definedName>
    <definedName name="接続先２">#REF!</definedName>
    <definedName name="携帯ドメイン情報" localSheetId="6">#REF!</definedName>
    <definedName name="携帯ドメイン情報">#REF!</definedName>
    <definedName name="支払保留">[26]区分値!$J$3:$J$4</definedName>
    <definedName name="数量" localSheetId="6">#REF!</definedName>
    <definedName name="数量">#REF!</definedName>
    <definedName name="最大ﾚﾋﾞｭｰ密度" localSheetId="6">#REF!</definedName>
    <definedName name="最大ﾚﾋﾞｭｰ密度">#REF!</definedName>
    <definedName name="最大指摘率" localSheetId="6">#REF!</definedName>
    <definedName name="最大指摘率">#REF!</definedName>
    <definedName name="有効性選択肢" localSheetId="6">#REF!</definedName>
    <definedName name="有効性選択肢">#REF!</definedName>
    <definedName name="案件一覧" localSheetId="6">#REF!</definedName>
    <definedName name="案件一覧">#REF!</definedName>
    <definedName name="案件一覧2" localSheetId="6">#REF!</definedName>
    <definedName name="案件一覧2">#REF!</definedName>
    <definedName name="標準原価部署マスタ_メンテナンス" localSheetId="5">#REF!</definedName>
    <definedName name="標準原価部署マスタ_メンテナンス" localSheetId="6">#REF!</definedName>
    <definedName name="標準原価部署マスタ_メンテナンス">#REF!</definedName>
    <definedName name="氏名">'[33]作業日誌５週 '!$B$9</definedName>
    <definedName name="永田メモ" localSheetId="6">#REF!</definedName>
    <definedName name="永田メモ">#REF!</definedName>
    <definedName name="決定区分" localSheetId="6">#REF!</definedName>
    <definedName name="決定区分">#REF!</definedName>
    <definedName name="活動状況_カレンダー" localSheetId="5">#REF!</definedName>
    <definedName name="活動状況_カレンダー" localSheetId="6">#REF!</definedName>
    <definedName name="活動状況_カレンダー">#REF!</definedName>
    <definedName name="活動状況_カレンダー_経理セ" localSheetId="5">#REF!</definedName>
    <definedName name="活動状況_カレンダー_経理セ" localSheetId="6">#REF!</definedName>
    <definedName name="活動状況_カレンダー_経理セ">#REF!</definedName>
    <definedName name="活動状況詳細_その他" localSheetId="5">#REF!</definedName>
    <definedName name="活動状況詳細_その他" localSheetId="6">#REF!</definedName>
    <definedName name="活動状況詳細_その他">#REF!</definedName>
    <definedName name="活動状況詳細_交通費" localSheetId="5">#REF!</definedName>
    <definedName name="活動状況詳細_交通費" localSheetId="6">#REF!</definedName>
    <definedName name="活動状況詳細_交通費">#REF!</definedName>
    <definedName name="活動状況詳細_飲食代" localSheetId="5">#REF!</definedName>
    <definedName name="活動状況詳細_飲食代" localSheetId="6">#REF!</definedName>
    <definedName name="活動状況詳細_飲食代">#REF!</definedName>
    <definedName name="状況">[35]区分マスタ!$C$2:$C$9</definedName>
    <definedName name="用語日本語" localSheetId="6">#REF!</definedName>
    <definedName name="用語日本語">#REF!</definedName>
    <definedName name="画面遷移new" hidden="1">{"'画面仕様'!$C$22:$BY$40","'画面仕様'!$C$28:$BY$39"}</definedName>
    <definedName name="画面遷移new2" hidden="1">{"'画面仕様'!$C$22:$BY$40","'画面仕様'!$C$28:$BY$39"}</definedName>
    <definedName name="画面項目一覧" localSheetId="6">#REF!</definedName>
    <definedName name="画面項目一覧">#REF!</definedName>
    <definedName name="登録区分" localSheetId="6">#REF!:#REF!</definedName>
    <definedName name="登録区分">#REF!:#REF!</definedName>
    <definedName name="白D" localSheetId="6">#REF!</definedName>
    <definedName name="白D">#REF!</definedName>
    <definedName name="種別" localSheetId="6">#REF!</definedName>
    <definedName name="種別">#REF!</definedName>
    <definedName name="精算一覧検索_修正・削除__SuiSuiCardSeisanIchiranKensaku01" localSheetId="5">#REF!</definedName>
    <definedName name="精算一覧検索_修正・削除__SuiSuiCardSeisanIchiranKensaku01" localSheetId="6">#REF!</definedName>
    <definedName name="精算一覧検索_修正・削除__SuiSuiCardSeisanIchiranKensaku01">#REF!</definedName>
    <definedName name="精算一覧検索修正・削除" localSheetId="5">#REF!</definedName>
    <definedName name="精算一覧検索修正・削除" localSheetId="6">#REF!</definedName>
    <definedName name="精算一覧検索修正・削除">#REF!</definedName>
    <definedName name="精算一覧検索修正・削除SWI" localSheetId="5">#REF!</definedName>
    <definedName name="精算一覧検索修正・削除SWI" localSheetId="6">#REF!</definedName>
    <definedName name="精算一覧検索修正・削除SWI">#REF!</definedName>
    <definedName name="精算交通費パターン選択" localSheetId="5">#REF!</definedName>
    <definedName name="精算交通費パターン選択" localSheetId="6">#REF!</definedName>
    <definedName name="精算交通費パターン選択">#REF!</definedName>
    <definedName name="精算伝票照会" localSheetId="5">#REF!</definedName>
    <definedName name="精算伝票照会" localSheetId="6">#REF!</definedName>
    <definedName name="精算伝票照会">#REF!</definedName>
    <definedName name="精算入力_８社以外_内容確認" localSheetId="5">#REF!</definedName>
    <definedName name="精算入力_８社以外_内容確認" localSheetId="6">#REF!</definedName>
    <definedName name="精算入力_８社以外_内容確認">#REF!</definedName>
    <definedName name="精算入力_サンリーブ_内容確認" localSheetId="5">#REF!</definedName>
    <definedName name="精算入力_サンリーブ_内容確認" localSheetId="6">#REF!</definedName>
    <definedName name="精算入力_サンリーブ_内容確認">#REF!</definedName>
    <definedName name="精算入力_スタッフ_内容確認" localSheetId="5">#REF!</definedName>
    <definedName name="精算入力_スタッフ_内容確認" localSheetId="6">#REF!</definedName>
    <definedName name="精算入力_スタッフ_内容確認">#REF!</definedName>
    <definedName name="精算入力_フーズ_内容確認" localSheetId="5">#REF!</definedName>
    <definedName name="精算入力_フーズ_内容確認" localSheetId="6">#REF!</definedName>
    <definedName name="精算入力_フーズ_内容確認">#REF!</definedName>
    <definedName name="精算入力_営業・事業部_内容確認" localSheetId="5">#REF!</definedName>
    <definedName name="精算入力_営業・事業部_内容確認" localSheetId="6">#REF!</definedName>
    <definedName name="精算入力_営業・事業部_内容確認">#REF!</definedName>
    <definedName name="精算入力_工場_内容確認" localSheetId="5">#REF!</definedName>
    <definedName name="精算入力_工場_内容確認" localSheetId="6">#REF!</definedName>
    <definedName name="精算入力_工場_内容確認">#REF!</definedName>
    <definedName name="精算承認_SeisanShonin02" localSheetId="5">#REF!</definedName>
    <definedName name="精算承認_SeisanShonin02" localSheetId="6">#REF!</definedName>
    <definedName name="精算承認_SeisanShonin02">#REF!</definedName>
    <definedName name="精算承認_内容確認__SeisanShonin03" localSheetId="5">#REF!</definedName>
    <definedName name="精算承認_内容確認__SeisanShonin03" localSheetId="6">#REF!</definedName>
    <definedName name="精算承認_内容確認__SeisanShonin03">#REF!</definedName>
    <definedName name="精算承認確認リスト" localSheetId="5">#REF!</definedName>
    <definedName name="精算承認確認リスト" localSheetId="6">#REF!</definedName>
    <definedName name="精算承認確認リスト">#REF!</definedName>
    <definedName name="精算摘要マスタ_SeisanTekiyoMasterMaintenance01" localSheetId="5">#REF!</definedName>
    <definedName name="精算摘要マスタ_SeisanTekiyoMasterMaintenance01" localSheetId="6">#REF!</definedName>
    <definedName name="精算摘要マスタ_SeisanTekiyoMasterMaintenance01">#REF!</definedName>
    <definedName name="精算摘要マスタ_修正_SeisanTekiyoMasterMaintenance02" localSheetId="5">#REF!</definedName>
    <definedName name="精算摘要マスタ_修正_SeisanTekiyoMasterMaintenance02" localSheetId="6">#REF!</definedName>
    <definedName name="精算摘要マスタ_修正_SeisanTekiyoMasterMaintenance02">#REF!</definedName>
    <definedName name="精算摘要入力可否マスタ_SeisanTekiyoNyuryokuKahiMasterMaintenance01" localSheetId="5">#REF!</definedName>
    <definedName name="精算摘要入力可否マスタ_SeisanTekiyoNyuryokuKahiMasterMaintenance01" localSheetId="6">#REF!</definedName>
    <definedName name="精算摘要入力可否マスタ_SeisanTekiyoNyuryokuKahiMasterMaintenance01">#REF!</definedName>
    <definedName name="精算摘要入力可否マスタ_修正_SeisanTekiyoMasterMaintenance02" localSheetId="5">#REF!</definedName>
    <definedName name="精算摘要入力可否マスタ_修正_SeisanTekiyoMasterMaintenance02" localSheetId="6">#REF!</definedName>
    <definedName name="精算摘要入力可否マスタ_修正_SeisanTekiyoMasterMaintenance02">#REF!</definedName>
    <definedName name="精算摘要入力可否マスタ_追加_SeisanTekiyoNyuryokuKahiMasterMaintenance02" localSheetId="5">#REF!</definedName>
    <definedName name="精算摘要入力可否マスタ_追加_SeisanTekiyoNyuryokuKahiMasterMaintenance02" localSheetId="6">#REF!</definedName>
    <definedName name="精算摘要入力可否マスタ_追加_SeisanTekiyoNyuryokuKahiMasterMaintenance02">#REF!</definedName>
    <definedName name="経理メニュー_Menu05" localSheetId="5">#REF!</definedName>
    <definedName name="経理メニュー_Menu05" localSheetId="6">#REF!</definedName>
    <definedName name="経理メニュー_Menu05">#REF!</definedName>
    <definedName name="総ｽﾃｯﾌﾟ">'[16]SUBPGM一覧(参照用)'!$D$2:$D$265</definedName>
    <definedName name="融資">[0]!融資</definedName>
    <definedName name="要員LIST" localSheetId="6">#REF!</definedName>
    <definedName name="要員LIST">#REF!</definedName>
    <definedName name="見積" hidden="1">{"'画面仕様'!$C$22:$BY$40","'画面仕様'!$C$28:$BY$39"}</definedName>
    <definedName name="計名">[25]設定画面!$C$7:$C$12</definedName>
    <definedName name="記号" localSheetId="6">#REF!</definedName>
    <definedName name="記号">#REF!</definedName>
    <definedName name="請求照合区分">[26]区分値!$H$3:$H$5</definedName>
    <definedName name="貸借区分">[26]区分値!$P$3:$P$5</definedName>
    <definedName name="近C" localSheetId="6">#REF!</definedName>
    <definedName name="近C">#REF!</definedName>
    <definedName name="追加案件一覧" localSheetId="6">#REF!</definedName>
    <definedName name="追加案件一覧">#REF!</definedName>
    <definedName name="追加案件一覧2" localSheetId="6">#REF!</definedName>
    <definedName name="追加案件一覧2">#REF!</definedName>
    <definedName name="進捗要注意作業">[0]!進捗要注意作業</definedName>
    <definedName name="過去履歴選択_その他" localSheetId="5">#REF!</definedName>
    <definedName name="過去履歴選択_その他" localSheetId="6">#REF!</definedName>
    <definedName name="過去履歴選択_その他">#REF!</definedName>
    <definedName name="過去履歴選択_その他画面" localSheetId="5">#REF!</definedName>
    <definedName name="過去履歴選択_その他画面" localSheetId="6">#REF!</definedName>
    <definedName name="過去履歴選択_その他画面">#REF!</definedName>
    <definedName name="過去履歴選択_チェーン" localSheetId="5">#REF!</definedName>
    <definedName name="過去履歴選択_チェーン" localSheetId="6">#REF!</definedName>
    <definedName name="過去履歴選択_チェーン">#REF!</definedName>
    <definedName name="過去履歴選択_チャネル" localSheetId="5">#REF!</definedName>
    <definedName name="過去履歴選択_チャネル" localSheetId="6">#REF!</definedName>
    <definedName name="過去履歴選択_チャネル">#REF!</definedName>
    <definedName name="過去履歴選択_交通費" localSheetId="5">#REF!</definedName>
    <definedName name="過去履歴選択_交通費" localSheetId="6">#REF!</definedName>
    <definedName name="過去履歴選択_交通費">#REF!</definedName>
    <definedName name="過去履歴選択_出張先" localSheetId="5">#REF!</definedName>
    <definedName name="過去履歴選択_出張先" localSheetId="6">#REF!</definedName>
    <definedName name="過去履歴選択_出張先">#REF!</definedName>
    <definedName name="過去履歴選択_利益センタ" localSheetId="5">#REF!</definedName>
    <definedName name="過去履歴選択_利益センタ" localSheetId="6">#REF!</definedName>
    <definedName name="過去履歴選択_利益センタ">#REF!</definedName>
    <definedName name="過去履歴選択_取引目的" localSheetId="5">#REF!</definedName>
    <definedName name="過去履歴選択_取引目的" localSheetId="6">#REF!</definedName>
    <definedName name="過去履歴選択_取引目的">#REF!</definedName>
    <definedName name="過去履歴選択_受払" localSheetId="5">#REF!</definedName>
    <definedName name="過去履歴選択_受払" localSheetId="6">#REF!</definedName>
    <definedName name="過去履歴選択_受払">#REF!</definedName>
    <definedName name="過去履歴選択_宿泊代" localSheetId="5">#REF!</definedName>
    <definedName name="過去履歴選択_宿泊代" localSheetId="6">#REF!</definedName>
    <definedName name="過去履歴選択_宿泊代">#REF!</definedName>
    <definedName name="過去履歴選択_精算者" localSheetId="5">#REF!</definedName>
    <definedName name="過去履歴選択_精算者" localSheetId="6">#REF!</definedName>
    <definedName name="過去履歴選択_精算者">#REF!</definedName>
    <definedName name="過去履歴選択_経理用件" localSheetId="5">#REF!</definedName>
    <definedName name="過去履歴選択_経理用件" localSheetId="6">#REF!</definedName>
    <definedName name="過去履歴選択_経理用件">#REF!</definedName>
    <definedName name="過去履歴選択_経費負担商品" localSheetId="5">#REF!</definedName>
    <definedName name="過去履歴選択_経費負担商品" localSheetId="6">#REF!</definedName>
    <definedName name="過去履歴選択_経費負担商品">#REF!</definedName>
    <definedName name="過去履歴選択_飲食代画面" localSheetId="5">#REF!</definedName>
    <definedName name="過去履歴選択_飲食代画面" localSheetId="6">#REF!</definedName>
    <definedName name="過去履歴選択_飲食代画面">#REF!</definedName>
    <definedName name="重要度区分" localSheetId="6">#REF!</definedName>
    <definedName name="重要度区分">#REF!</definedName>
    <definedName name="野C" localSheetId="6">#REF!</definedName>
    <definedName name="野C">#REF!</definedName>
    <definedName name="金___額" localSheetId="5">[36]開発費用概算!#REF!</definedName>
    <definedName name="金___額" localSheetId="6">[36]開発費用概算!#REF!</definedName>
    <definedName name="金___額">[36]開発費用概算!#REF!</definedName>
    <definedName name="銀行持込日マスタ_メンテナンス_GinkoMochikomibiMasterMaintenance01" localSheetId="5">#REF!</definedName>
    <definedName name="銀行持込日マスタ_メンテナンス_GinkoMochikomibiMasterMaintenance01" localSheetId="6">#REF!</definedName>
    <definedName name="銀行持込日マスタ_メンテナンス_GinkoMochikomibiMasterMaintenance01">#REF!</definedName>
    <definedName name="長前_共通_計算ロジック">'[29]長前費計算（BA）005-009'!$C$8</definedName>
    <definedName name="長前_変更">'[29]長前費計算（BA）005-009'!$B$223</definedName>
    <definedName name="長前_計上">'[29]長前費計算（BA）005-009'!$B$105</definedName>
    <definedName name="長前_除却">'[29]長前費計算（BA）005-009'!$B$170</definedName>
    <definedName name="開発番号">[25]設定画面!$D$7:$D$12</definedName>
    <definedName name="開発番号１">[25]設定画面!$D$7</definedName>
    <definedName name="関連表" localSheetId="5" hidden="1">#REF!</definedName>
    <definedName name="関連表" localSheetId="6" hidden="1">#REF!</definedName>
    <definedName name="関連表" hidden="1">#REF!</definedName>
    <definedName name="障害検出率_表範囲">'[37]障害検出率 (マスタ)'!$B$25:$D$25,'[37]障害検出率 (マスタ)'!$B$32:$D$35</definedName>
    <definedName name="項番" localSheetId="6">#REF!</definedName>
    <definedName name="項番">#REF!</definedName>
    <definedName name="項番2" localSheetId="6">#REF!</definedName>
    <definedName name="項番2">#REF!</definedName>
    <definedName name="項番用ワークエリア" localSheetId="6">#REF!</definedName>
    <definedName name="項番用ワークエリア">#REF!</definedName>
    <definedName name="項目" localSheetId="6">#REF!</definedName>
    <definedName name="項目">#REF!</definedName>
    <definedName name="項目属性" localSheetId="6">#REF!</definedName>
    <definedName name="項目属性">#REF!</definedName>
    <definedName name="高速・ガソリン・駐車場_精算_KosokuGasolineChushajoSeisan01" localSheetId="5">#REF!</definedName>
    <definedName name="高速・ガソリン・駐車場_精算_KosokuGasolineChushajoSeisan01" localSheetId="6">#REF!</definedName>
    <definedName name="高速・ガソリン・駐車場_精算_KosokuGasolineChushajoSeisan01">#REF!</definedName>
  </definedNames>
  <calcPr calcId="162913"/>
</workbook>
</file>

<file path=xl/calcChain.xml><?xml version="1.0" encoding="utf-8"?>
<calcChain xmlns="http://schemas.openxmlformats.org/spreadsheetml/2006/main">
  <c r="A2" i="11" l="1"/>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2" i="10"/>
  <c r="B2" i="9"/>
  <c r="B2" i="8"/>
  <c r="U67" i="7"/>
  <c r="U66" i="7"/>
  <c r="Q59" i="7"/>
  <c r="P59" i="7"/>
  <c r="O59" i="7"/>
  <c r="N59" i="7"/>
  <c r="M59" i="7"/>
  <c r="L59" i="7"/>
  <c r="K59" i="7"/>
  <c r="J59" i="7"/>
  <c r="Q26" i="7"/>
  <c r="P26" i="7"/>
  <c r="O26" i="7"/>
  <c r="N26" i="7"/>
  <c r="U25" i="7"/>
  <c r="T25" i="7"/>
  <c r="S25" i="7"/>
  <c r="R25" i="7"/>
  <c r="U24" i="7"/>
  <c r="T24" i="7"/>
  <c r="S24" i="7"/>
  <c r="R24" i="7"/>
  <c r="B24" i="7"/>
  <c r="U18" i="7"/>
  <c r="T18" i="7"/>
  <c r="S18" i="7"/>
  <c r="R18" i="7"/>
  <c r="U17" i="7"/>
  <c r="T17" i="7"/>
  <c r="S17" i="7"/>
  <c r="R17" i="7"/>
  <c r="U10" i="7"/>
  <c r="T10" i="7"/>
  <c r="M10" i="7"/>
  <c r="L10" i="7"/>
  <c r="K10" i="7"/>
  <c r="S10" i="7" s="1"/>
  <c r="J10" i="7"/>
  <c r="R10" i="7" s="1"/>
  <c r="U9" i="7"/>
  <c r="U26" i="7" s="1"/>
  <c r="U65" i="7" s="1"/>
  <c r="C25" i="2" s="1"/>
  <c r="D25" i="2" s="1"/>
  <c r="F25" i="2" s="1"/>
  <c r="H25" i="2" s="1"/>
  <c r="T9" i="7"/>
  <c r="T26" i="7" s="1"/>
  <c r="U64" i="7" s="1"/>
  <c r="C24" i="2" s="1"/>
  <c r="D24" i="2" s="1"/>
  <c r="F24" i="2" s="1"/>
  <c r="H24" i="2" s="1"/>
  <c r="M9" i="7"/>
  <c r="M26" i="7" s="1"/>
  <c r="L9" i="7"/>
  <c r="L26" i="7" s="1"/>
  <c r="K9" i="7"/>
  <c r="K26" i="7" s="1"/>
  <c r="J9" i="7"/>
  <c r="R9" i="7" s="1"/>
  <c r="B2" i="7"/>
  <c r="U67" i="6"/>
  <c r="Q59" i="6"/>
  <c r="P59" i="6"/>
  <c r="O59" i="6"/>
  <c r="N59" i="6"/>
  <c r="M59" i="6"/>
  <c r="L59" i="6"/>
  <c r="K59" i="6"/>
  <c r="J59" i="6"/>
  <c r="R33" i="6"/>
  <c r="R32" i="6"/>
  <c r="U66" i="6" s="1"/>
  <c r="C12" i="2" s="1"/>
  <c r="D12" i="2" s="1"/>
  <c r="F12" i="2" s="1"/>
  <c r="H12" i="2" s="1"/>
  <c r="Q26" i="6"/>
  <c r="P26" i="6"/>
  <c r="O26" i="6"/>
  <c r="N26" i="6"/>
  <c r="U25" i="6"/>
  <c r="T25" i="6"/>
  <c r="S25" i="6"/>
  <c r="R25" i="6"/>
  <c r="U24" i="6"/>
  <c r="T24" i="6"/>
  <c r="S24" i="6"/>
  <c r="R24" i="6"/>
  <c r="B24" i="6"/>
  <c r="U18" i="6"/>
  <c r="T18" i="6"/>
  <c r="S18" i="6"/>
  <c r="R18" i="6"/>
  <c r="U17" i="6"/>
  <c r="T17" i="6"/>
  <c r="S17" i="6"/>
  <c r="R17" i="6"/>
  <c r="M13" i="6"/>
  <c r="U13" i="6" s="1"/>
  <c r="L13" i="6"/>
  <c r="T13" i="6" s="1"/>
  <c r="K13" i="6"/>
  <c r="S13" i="6" s="1"/>
  <c r="J13" i="6"/>
  <c r="R13" i="6" s="1"/>
  <c r="M12" i="6"/>
  <c r="U12" i="6" s="1"/>
  <c r="L12" i="6"/>
  <c r="T12" i="6" s="1"/>
  <c r="K12" i="6"/>
  <c r="S12" i="6" s="1"/>
  <c r="J12" i="6"/>
  <c r="R12" i="6" s="1"/>
  <c r="M11" i="6"/>
  <c r="U11" i="6" s="1"/>
  <c r="L11" i="6"/>
  <c r="T11" i="6" s="1"/>
  <c r="K11" i="6"/>
  <c r="S11" i="6" s="1"/>
  <c r="J11" i="6"/>
  <c r="R11" i="6" s="1"/>
  <c r="M10" i="6"/>
  <c r="U10" i="6" s="1"/>
  <c r="L10" i="6"/>
  <c r="T10" i="6" s="1"/>
  <c r="K10" i="6"/>
  <c r="S10" i="6" s="1"/>
  <c r="J10" i="6"/>
  <c r="R10" i="6" s="1"/>
  <c r="M9" i="6"/>
  <c r="U9" i="6" s="1"/>
  <c r="L9" i="6"/>
  <c r="T9" i="6" s="1"/>
  <c r="T26" i="6" s="1"/>
  <c r="U64" i="6" s="1"/>
  <c r="C10" i="2" s="1"/>
  <c r="D10" i="2" s="1"/>
  <c r="F10" i="2" s="1"/>
  <c r="H10" i="2" s="1"/>
  <c r="K9" i="6"/>
  <c r="S9" i="6" s="1"/>
  <c r="S26" i="6" s="1"/>
  <c r="U63" i="6" s="1"/>
  <c r="C8" i="2" s="1"/>
  <c r="D8" i="2" s="1"/>
  <c r="F8" i="2" s="1"/>
  <c r="H8" i="2" s="1"/>
  <c r="J9" i="6"/>
  <c r="R9" i="6" s="1"/>
  <c r="B2" i="6"/>
  <c r="B2" i="5"/>
  <c r="B2" i="4"/>
  <c r="B2" i="3"/>
  <c r="C28" i="2"/>
  <c r="D28" i="2" s="1"/>
  <c r="F28" i="2" s="1"/>
  <c r="H28" i="2" s="1"/>
  <c r="H27" i="2"/>
  <c r="C26" i="2"/>
  <c r="D26" i="2" s="1"/>
  <c r="F26" i="2" s="1"/>
  <c r="H26" i="2" s="1"/>
  <c r="H23" i="2"/>
  <c r="C14" i="2"/>
  <c r="D14" i="2" s="1"/>
  <c r="F14" i="2" s="1"/>
  <c r="H14" i="2" s="1"/>
  <c r="H13" i="2"/>
  <c r="H9" i="2"/>
  <c r="R26" i="7" l="1"/>
  <c r="U62" i="7" s="1"/>
  <c r="U26" i="6"/>
  <c r="U65" i="6" s="1"/>
  <c r="C11" i="2" s="1"/>
  <c r="D11" i="2" s="1"/>
  <c r="F11" i="2" s="1"/>
  <c r="H11" i="2" s="1"/>
  <c r="R26" i="6"/>
  <c r="U62" i="6" s="1"/>
  <c r="S9" i="7"/>
  <c r="S26" i="7" s="1"/>
  <c r="U63" i="7" s="1"/>
  <c r="J26" i="6"/>
  <c r="K26" i="6"/>
  <c r="L26" i="6"/>
  <c r="M26" i="6"/>
  <c r="J26" i="7"/>
  <c r="C22" i="2" l="1"/>
  <c r="D22" i="2" s="1"/>
  <c r="F22" i="2" s="1"/>
  <c r="H22" i="2" s="1"/>
  <c r="C21" i="2"/>
  <c r="D21" i="2" s="1"/>
  <c r="F21" i="2" s="1"/>
  <c r="H21" i="2" s="1"/>
  <c r="R58" i="7"/>
  <c r="R58" i="6"/>
  <c r="C7" i="2"/>
  <c r="D7" i="2" s="1"/>
  <c r="F7" i="2" s="1"/>
  <c r="H7" i="2" s="1"/>
  <c r="U68" i="6" l="1"/>
  <c r="R59" i="6"/>
  <c r="R59" i="7"/>
  <c r="U68" i="7"/>
  <c r="C20" i="2" l="1"/>
  <c r="D20" i="2" s="1"/>
  <c r="U69" i="7"/>
  <c r="U70" i="7" s="1"/>
  <c r="C6" i="2"/>
  <c r="D6" i="2" s="1"/>
  <c r="U69" i="6"/>
  <c r="U70" i="6" s="1"/>
  <c r="F6" i="2" l="1"/>
  <c r="H6" i="2" s="1"/>
  <c r="H15" i="2" s="1"/>
  <c r="D15" i="2"/>
  <c r="F20" i="2"/>
  <c r="H20" i="2" s="1"/>
  <c r="H29" i="2" s="1"/>
  <c r="D29" i="2"/>
</calcChain>
</file>

<file path=xl/sharedStrings.xml><?xml version="1.0" encoding="utf-8"?>
<sst xmlns="http://schemas.openxmlformats.org/spreadsheetml/2006/main" count="417" uniqueCount="217">
  <si>
    <t>● 目的</t>
  </si>
  <si>
    <t>協力会社様からご提示いただいた見積明細に見積根拠を記載していただき、実施すべき内容の過不足、</t>
  </si>
  <si>
    <t>認識齟齬がないかをシス部担当者で確認できるように本フォーマットを公開します。</t>
  </si>
  <si>
    <t>10人月以上の案件は本見積シートを必ずご利用ください</t>
  </si>
  <si>
    <t>※ 本シートは詳細設計以降の見積にご利用ください。</t>
  </si>
  <si>
    <t>● 利用方法</t>
  </si>
  <si>
    <t>※ 詳細設計　～　システムテスト 本番移行シートの記載方法</t>
  </si>
  <si>
    <t>シート名</t>
  </si>
  <si>
    <t>記載方法</t>
  </si>
  <si>
    <t>見積総額</t>
  </si>
  <si>
    <t>本シートのフォーマットで作成ください。
I列の単価、ランクは各社様で記載ください。</t>
  </si>
  <si>
    <t>機能名（C列）
機能概要（D列）</t>
  </si>
  <si>
    <t>プロジェクトに応じて行を追加・削除可能
※ システムテスト以降についても同様です。</t>
  </si>
  <si>
    <t>前提条件</t>
  </si>
  <si>
    <t>フリーフォーマット</t>
  </si>
  <si>
    <t>ボリューム
（H列）</t>
  </si>
  <si>
    <t>画面数、参照、更新テーブル数、利用コンポ、バッチ数を記載</t>
  </si>
  <si>
    <t>システム構成図</t>
  </si>
  <si>
    <t>工数説明（難易度説明）
（I列）</t>
  </si>
  <si>
    <t>Sランク・最下層のランク：
　工数の根拠がわかるよう説明を記載ください。
Sランク、最下位ランク以外：
　そのランクを選んだ根拠を記載ください。
　調整工数の根拠も必ず記載ください。</t>
  </si>
  <si>
    <t>詳細設計　～
　システムテスト 本番移行</t>
  </si>
  <si>
    <t>本シートのフォーマットで作成ください。
サンプルに示したくらいの粒度で記載ください。</t>
  </si>
  <si>
    <t>標準作業工数
（J～M列）</t>
  </si>
  <si>
    <t>Sランク・最下層のランク：
　直接見積工数を記載ください。
Sランク、最下位ランク以外：
　「難易度別標準工数」シートで定義した工数を記載ください。</t>
  </si>
  <si>
    <t>難易度別標準工数</t>
  </si>
  <si>
    <t>本シートのフォーマットで作成ください。
プロジェクトごとの特性に応じた、難易度別テーブルを作成
　・D列～G列のフェーズ追加（列追加）は不可です。
　　※ 詳細設計、実装、単体テスト、結合テスト
　・ランクを追加は可能です。	
　　※ デフォルトはS～Dの5ランクで定義
　・Sランクと、最下層のランクは個別算出です。
　　※ 個別算出分は機能別に工数見積</t>
  </si>
  <si>
    <t>調整工数
（N～Q列）</t>
  </si>
  <si>
    <t>標準工数から過不足がある場合は、調整工数を記載ください。
※ Sランクと、最下層のランクは個別算出（機能別に工数見積）に
　　なりますので、記載不要です。</t>
  </si>
  <si>
    <t xml:space="preserve">調整工数 利用例：
　それぞれの機能別だと、結合テストが多すぎるのである機能でマイナス調整。
　　※ 詳細設計～システムテスト 本番移行シート １．画面のNo.12のパターン）	
　再利用できる機能がある場合。
　　※ 詳細設計～システムテスト 本番移行シート １．画面のNo.1のパターン）	
 追加要件があるため、工数が足りない場合
　　※ 詳細設計～システムテスト 本番移行シート １．画面のNo.10のパターン）	</t>
  </si>
  <si>
    <t>体制</t>
  </si>
  <si>
    <t>見積工数
（R～U列）</t>
  </si>
  <si>
    <t>自動計算されます。</t>
  </si>
  <si>
    <t>成果物</t>
  </si>
  <si>
    <t>スケジュール</t>
  </si>
  <si>
    <t>Sample Project</t>
  </si>
  <si>
    <t>最終更新：YYYY/MM/DD</t>
  </si>
  <si>
    <t>① Sample approach 1</t>
  </si>
  <si>
    <t>項目</t>
  </si>
  <si>
    <t>工数（人日）</t>
  </si>
  <si>
    <t>工数（人月）</t>
  </si>
  <si>
    <t>ランク</t>
  </si>
  <si>
    <t>工数（人月）
ランク別</t>
  </si>
  <si>
    <t>単価（円）</t>
  </si>
  <si>
    <t>金額（円）</t>
  </si>
  <si>
    <t>プロジェクト管理</t>
  </si>
  <si>
    <t>PL</t>
  </si>
  <si>
    <t>詳細設計</t>
  </si>
  <si>
    <t>SE</t>
  </si>
  <si>
    <t>実装</t>
  </si>
  <si>
    <t>PG</t>
  </si>
  <si>
    <t>単体テスト</t>
  </si>
  <si>
    <t>結合テスト</t>
  </si>
  <si>
    <t>システムテスト・ユーザテスト</t>
  </si>
  <si>
    <t>本番化作業・初期流動</t>
  </si>
  <si>
    <t>合計</t>
  </si>
  <si>
    <t>② Sample approach 2</t>
  </si>
  <si>
    <t>最終更新：6/16/2026（火）</t>
  </si>
  <si>
    <t>No.</t>
  </si>
  <si>
    <t>分類</t>
  </si>
  <si>
    <t>内容</t>
  </si>
  <si>
    <t>最終更新：2/27/2026（金）</t>
  </si>
  <si>
    <t>（人日）</t>
  </si>
  <si>
    <t>No</t>
  </si>
  <si>
    <t>機能名</t>
  </si>
  <si>
    <t>機能概要</t>
  </si>
  <si>
    <t>要件（ユースケース）</t>
  </si>
  <si>
    <t>難易度</t>
  </si>
  <si>
    <t>新規/改定</t>
  </si>
  <si>
    <t>見積根拠</t>
  </si>
  <si>
    <t>標準作業工数（人日）</t>
  </si>
  <si>
    <t>調整工数（人日）</t>
  </si>
  <si>
    <t>見積工数（人日）</t>
  </si>
  <si>
    <t>備考</t>
  </si>
  <si>
    <t>ボリューム</t>
  </si>
  <si>
    <t>工数説明（難易度説明）
※ 難易度別標準工数シートから工数が外れる場合は、その根拠を記載。</t>
  </si>
  <si>
    <t>再利用率等考慮</t>
  </si>
  <si>
    <t>※ 画面数・DB数・ステップ数 等</t>
  </si>
  <si>
    <t>1.処理・画面</t>
  </si>
  <si>
    <t>Sample Function 1</t>
  </si>
  <si>
    <t>Sample overview 1</t>
  </si>
  <si>
    <t>A</t>
  </si>
  <si>
    <t>Sample estimate basis 1</t>
  </si>
  <si>
    <t>Sample work explanation 1</t>
  </si>
  <si>
    <t>Sample Function 2</t>
  </si>
  <si>
    <t>Sample overview 2</t>
  </si>
  <si>
    <t>B</t>
  </si>
  <si>
    <t>Sample estimate basis 2</t>
  </si>
  <si>
    <t>Sample work explanation 2</t>
  </si>
  <si>
    <t>Sample Function 3</t>
  </si>
  <si>
    <t>Sample overview 3</t>
  </si>
  <si>
    <t>C</t>
  </si>
  <si>
    <t>Sample estimate basis 3</t>
  </si>
  <si>
    <t>Sample work explanation 3</t>
  </si>
  <si>
    <t>Sample Function 4</t>
  </si>
  <si>
    <t>Sample overview 4</t>
  </si>
  <si>
    <t>Sample estimate basis 4</t>
  </si>
  <si>
    <t>Sample work explanation 4</t>
  </si>
  <si>
    <t>Sample Function 5</t>
  </si>
  <si>
    <t>Sample overview 5</t>
  </si>
  <si>
    <t>Sample estimate basis 5</t>
  </si>
  <si>
    <t>Sample work explanation 5</t>
  </si>
  <si>
    <t>3.全般</t>
  </si>
  <si>
    <t>Sample Function 6</t>
  </si>
  <si>
    <t>Sample overview 6</t>
  </si>
  <si>
    <t>小計（工程別）</t>
  </si>
  <si>
    <t>工数説明
※ 難易度別標準工数シートから工数が外れる場合は、必ず根拠を記載</t>
  </si>
  <si>
    <t>工数</t>
  </si>
  <si>
    <t>1.機能外テスト</t>
  </si>
  <si>
    <t>Sample Function 7</t>
  </si>
  <si>
    <t>Sample estimate basis 7</t>
  </si>
  <si>
    <t>対応10H</t>
  </si>
  <si>
    <t>２.ユーザテスト</t>
  </si>
  <si>
    <t>３.移行</t>
  </si>
  <si>
    <t>Sample Function 8</t>
  </si>
  <si>
    <t>Sample estimate basis 8</t>
  </si>
  <si>
    <t>４.初期流動</t>
  </si>
  <si>
    <t>5.プロジェクト管理</t>
  </si>
  <si>
    <t>Sample Function 9</t>
  </si>
  <si>
    <t>Sample estimate basis 9</t>
  </si>
  <si>
    <t>Sample work explanation 9</t>
  </si>
  <si>
    <t>フェーズ</t>
  </si>
  <si>
    <t>作業工数
（フェーズ別）</t>
  </si>
  <si>
    <t>※ システムテスト以降の工数合計が正しいかご確認ください。</t>
  </si>
  <si>
    <t>移行・初期流動</t>
  </si>
  <si>
    <t>合計（人月）</t>
  </si>
  <si>
    <t>最終更新：3/19/2026（Thu）</t>
  </si>
  <si>
    <t>説明</t>
  </si>
  <si>
    <t>S</t>
  </si>
  <si>
    <t>難易度 高の工数では収まらない特例の機能
※ 工数の根拠を含め内訳を工数説明に記載</t>
  </si>
  <si>
    <t>個別算出</t>
  </si>
  <si>
    <t>複雑な処理を一部含み、一般的な機能より工数がかかる
※ 難易度の選択理由を記載</t>
  </si>
  <si>
    <t>複雑な機能もなく、簡単な一覧検索や検索・登録機能
※ 難易度の選択理由を記載</t>
  </si>
  <si>
    <t>単純な画面、バッチ機能
※ 難易度の選択理由を記載</t>
  </si>
  <si>
    <t>D</t>
  </si>
  <si>
    <t>Cで定義した工数よりも少ない工数で開発できる機能
※ 工数の根拠を含め内訳を工数説明に記載</t>
  </si>
  <si>
    <t>※ 難易度説明のための説明はすべて記載ください。</t>
  </si>
  <si>
    <t>※ 工数を難易度別工数に合わせる必要はありませんが、外れる場合は根拠をご説明ください。</t>
  </si>
  <si>
    <t>※ 難易度別工数（目安）を記載してから見積シートに工数を記載ください。</t>
  </si>
  <si>
    <t>※ 新規/改定別に標準工数表を分けて記載いただいても問題ありません。</t>
  </si>
  <si>
    <t>　　ただし、画面、バッチ等、機能別に標準工数表を分けて作成しないようにしてください。</t>
  </si>
  <si>
    <t>最終更新：6/15/2026（月）</t>
  </si>
  <si>
    <t>NO</t>
  </si>
  <si>
    <t>納品対象</t>
  </si>
  <si>
    <t>画面処理仕様書</t>
  </si>
  <si>
    <t>■画面に関する仕様を詳細に記述したドキュメント</t>
  </si>
  <si>
    <t>要</t>
  </si>
  <si>
    <t>バッチ処理仕様書</t>
  </si>
  <si>
    <t>■バッチに関する仕様を詳細に記述したドキュメント</t>
  </si>
  <si>
    <t>不要</t>
  </si>
  <si>
    <t>帳票仕様書</t>
  </si>
  <si>
    <t>■システムから発信されるメールに関する仕様を詳細に記述したドキュメント</t>
  </si>
  <si>
    <t>システムテスト</t>
  </si>
  <si>
    <t>移行・初期流動計画書</t>
  </si>
  <si>
    <t>■既存システムから移行する際の移行設計書
■以下の事項ついて記述する
・移行データ一覧
・データ移行方式（フロー等）
・作業手順書
■本番移行する資源の一覧とその実施手順を記述したドキュメント
■サービスイン後の初期流動管理の計画書
■初期流動時のチェックポイントとチェック結果を記述する
■エビデンスも記載する</t>
  </si>
  <si>
    <t>本番化</t>
  </si>
  <si>
    <t>メール一覧・仕様書</t>
  </si>
  <si>
    <t>■システムから発信されるメールに関する仕様を詳細に記述したドキュメント
・メール一覧
・メール宛先
・メール内容（タイトル・本文）
・送信タイミング</t>
  </si>
  <si>
    <t>ファイル・連携フォーマット一覧</t>
  </si>
  <si>
    <t>■ファイル、システム間連携データのフォーマットに関する仕様を詳細に作成
・レイアウト定義
・項目定義
※ JSON、CSV、XMLなどのフォーマット定義</t>
  </si>
  <si>
    <t>テーブルレイアウト</t>
  </si>
  <si>
    <t xml:space="preserve">■コンセプト時のDBレイアウトに追加データ項目等があれば、更新する </t>
  </si>
  <si>
    <t>ネットフロー</t>
  </si>
  <si>
    <t>■バッチ処理のネットフロー</t>
  </si>
  <si>
    <t>ジョブフロー</t>
  </si>
  <si>
    <t xml:space="preserve">■ジョブネットに属するジョブのジョブフロー </t>
  </si>
  <si>
    <t>詳細設計チェックリスト
(単体テストチェックリスト)</t>
  </si>
  <si>
    <t>■詳細設計を行っていくうえで、「ルールでは決められていないが、各プロジェクトで決定しなければいけないこと」のチェックリストです。
■システム別設計・実装規約定義書」のチェックリストとして使用ください。また、単体テストのテストケースチェックにも使用ください。</t>
  </si>
  <si>
    <t>ユーザーマニュアル</t>
  </si>
  <si>
    <t xml:space="preserve">■システムのユーザーマニュアル
■システム利用者に分かりやすい形式で作成すること </t>
  </si>
  <si>
    <t>実装・単体テスト</t>
  </si>
  <si>
    <t>PGソース・実行モジュール</t>
  </si>
  <si>
    <t>■設計書をもとに実装するプログラムソースと実行モジュール</t>
  </si>
  <si>
    <t>単体テスト計画書</t>
  </si>
  <si>
    <t>■単体テスト開始前に、目的・範囲／実施概要／テスト運用／開始・完了条件／スケジュール／体制を、計画するためのドキュメント</t>
  </si>
  <si>
    <t>単体テスト仕様書</t>
  </si>
  <si>
    <t>■単体テストのテストパターンとテスト結果を記述する
■エビデンスも付与する</t>
  </si>
  <si>
    <t>セキュリティ対策チェックリスト
（詳細設計後）</t>
  </si>
  <si>
    <t>■結合テストの前にセキュリティ部門 部長の承認必須
■サービス確認会議にて結果報告必須
■Webアプリ詳細設計を行っていくうえで、アプリ脆弱性を防ぐためのチェックリストです。</t>
  </si>
  <si>
    <t>結合テスト計画書</t>
  </si>
  <si>
    <t>■結合テスト開始前に、目的・範囲／実施概要／テスト運用／開始・完了条件／スケジュール／体制を、計画するためのドキュメント</t>
  </si>
  <si>
    <t>結合テスト仕様書</t>
  </si>
  <si>
    <t>■結合テストのテストパターンとテスト結果を記述する
■エビデンスも付与する</t>
  </si>
  <si>
    <t>結合テストチェックリスト</t>
  </si>
  <si>
    <t>■結合テストでモレがちな項目をチェックリストにしたドキュメント</t>
  </si>
  <si>
    <t>システムテスト計画書</t>
  </si>
  <si>
    <t>■システムテスト開始前に、目的・範囲／実施概要／テスト運用／開始・完了条件／スケジュール／体制を、計画するためのドキュメント</t>
  </si>
  <si>
    <t>システムテスト仕様書</t>
  </si>
  <si>
    <t>■システムテストのテストパターンとテスト結果を記述する
■エビデンスも付与する</t>
  </si>
  <si>
    <t>機能外テスト仕様書</t>
  </si>
  <si>
    <t>■機能外テストのテストパターンとテスト結果を記述する
■エビデンスも付与する</t>
  </si>
  <si>
    <t>移行（本番化）</t>
  </si>
  <si>
    <t>パララン計画書</t>
  </si>
  <si>
    <t>■パラレルラン開始前に、目的・範囲／実施概要／確認事項／リスク回避／スケジュール／体制を、計画するためのドキュメント</t>
  </si>
  <si>
    <t>運用テスト仕様書</t>
  </si>
  <si>
    <t>■運用テストのテストパターンとテスト結果を記述する
■エビテンスも付与</t>
  </si>
  <si>
    <t>本番機移行チェックリスト</t>
  </si>
  <si>
    <t>■アプリケーションの本番移行に伴うトラブルの未然防止や、移行後の稼動確認漏れを防止することを目的としたチェックリスト
■本番機移行前後に最低限必要なチェック項目が記載されている
■各アプリケーションで必要な項目を追加して利用すること</t>
  </si>
  <si>
    <t>セキュリティ対策チェックリスト
（テスト後）</t>
  </si>
  <si>
    <t>■セキュリティに関するチェックリスト 
■サービスイン確認会議前にチェックし、セキュリティ部門 課長への提出必須 
■サービスイン確認会議で、チェック済みである旨を報告すること</t>
  </si>
  <si>
    <t>トラブル撲滅チェックリスト
(2回目）</t>
  </si>
  <si>
    <t>■大規模トラブルの未然防止を目的としたチェックリスト
■本番機で稼動させる前に確かに問題がないことを確認し、品質関連部門（PMO）に提出すること</t>
  </si>
  <si>
    <t>変更管理資料・本番化手順書</t>
  </si>
  <si>
    <t>■本番化時に使用する変更管理資料・本番化手順書</t>
  </si>
  <si>
    <t>運用引継ぎ</t>
  </si>
  <si>
    <t>引継ぎスケジュール</t>
  </si>
  <si>
    <t>■システム運用引継ぎの項目と各スケジュールを明示する</t>
  </si>
  <si>
    <t>定例・臨時作業一覧</t>
  </si>
  <si>
    <t>■引き継ぎ対象システムの次の定義をする
■システム対象／システム構成／インフラ構成／サーバ情報／機能一覧
■アプリケーションの日々の運用に必要な監視内容を定義する
■マスタ登録、データ抽出等、定例作業を定義する</t>
  </si>
  <si>
    <t>詳細スケジュール</t>
  </si>
  <si>
    <t>■開発におけるWBS</t>
  </si>
  <si>
    <t>課題管理表</t>
  </si>
  <si>
    <t>■開発に関する仕様・課題管理表</t>
  </si>
  <si>
    <t>不具合管理表</t>
  </si>
  <si>
    <t>■単体・結合・システム・統合テスト時に発生した不具合管理表</t>
  </si>
  <si>
    <t>変更一覧</t>
  </si>
  <si>
    <t>■詳細設計以降の一括契約締結後、仕様変更が発生した場合、このドキュメントで、変更要求／実施判断ステータス／工数を管理する</t>
  </si>
  <si>
    <t>最終更新：20XX/XX/XX（〇〇）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</si>
</sst>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_ "/>
    <numFmt numFmtId="165" formatCode="#,##0.00_ "/>
    <numFmt numFmtId="166" formatCode="0.00_ "/>
    <numFmt numFmtId="167" formatCode="&quot;¥&quot;#,##0;&quot;¥&quot;\-#,##0"/>
    <numFmt numFmtId="168" formatCode="&quot;¥&quot;#,##0;[Red]&quot;¥&quot;#,##0"/>
  </numFmts>
  <fonts count="35">
    <font>
      <sz val="11"/>
      <name val="ＭＳ Ｐゴシック"/>
      <family val="3"/>
      <charset val="128"/>
    </font>
    <font>
      <sz val="11"/>
      <color theme="1"/>
      <name val="Calibri"/>
      <family val="2"/>
      <scheme val="minor"/>
    </font>
    <font>
      <sz val="11"/>
      <name val="ＭＳ Ｐゴシック"/>
      <family val="3"/>
      <charset val="128"/>
    </font>
    <font>
      <sz val="10"/>
      <name val="Meiryo UI"/>
      <family val="3"/>
      <charset val="128"/>
    </font>
    <font>
      <sz val="18"/>
      <name val="Meiryo UI"/>
      <family val="3"/>
      <charset val="128"/>
    </font>
    <font>
      <b/>
      <sz val="10"/>
      <name val="Meiryo UI"/>
      <family val="3"/>
      <charset val="128"/>
    </font>
    <font>
      <sz val="10"/>
      <color theme="1"/>
      <name val="Meiryo UI"/>
      <family val="3"/>
      <charset val="128"/>
    </font>
    <font>
      <sz val="20"/>
      <name val="HGP創英角ｺﾞｼｯｸUB"/>
      <family val="3"/>
      <charset val="128"/>
    </font>
    <font>
      <sz val="12"/>
      <name val="HGP創英角ｺﾞｼｯｸUB"/>
      <family val="3"/>
      <charset val="128"/>
    </font>
    <font>
      <sz val="12"/>
      <color indexed="8"/>
      <name val="HGP創英角ｺﾞｼｯｸUB"/>
      <family val="3"/>
      <charset val="128"/>
    </font>
    <font>
      <sz val="14"/>
      <color indexed="8"/>
      <name val="HGP創英角ｺﾞｼｯｸUB"/>
      <family val="3"/>
      <charset val="128"/>
    </font>
    <font>
      <b/>
      <sz val="11"/>
      <name val="ＭＳ Ｐゴシック"/>
      <family val="3"/>
      <charset val="128"/>
    </font>
    <font>
      <b/>
      <sz val="11"/>
      <color indexed="10"/>
      <name val="ＭＳ Ｐゴシック"/>
      <family val="3"/>
      <charset val="128"/>
    </font>
    <font>
      <b/>
      <sz val="11"/>
      <color indexed="12"/>
      <name val="ＭＳ Ｐゴシック"/>
      <family val="3"/>
      <charset val="128"/>
    </font>
    <font>
      <b/>
      <sz val="12"/>
      <name val="ＭＳ Ｐゴシック"/>
      <family val="3"/>
      <charset val="128"/>
    </font>
    <font>
      <sz val="11"/>
      <color rgb="FF000000"/>
      <name val="ＭＳ Ｐゴシック"/>
      <family val="3"/>
      <charset val="128"/>
    </font>
    <font>
      <sz val="20"/>
      <name val="Meiryo UI"/>
      <family val="3"/>
      <charset val="128"/>
    </font>
    <font>
      <b/>
      <shadow/>
      <sz val="11"/>
      <name val="ＭＳ Ｐゴシック"/>
      <family val="3"/>
      <charset val="128"/>
    </font>
    <font>
      <b/>
      <sz val="11"/>
      <color theme="1"/>
      <name val="Calibri"/>
      <family val="3"/>
      <charset val="128"/>
      <scheme val="minor"/>
    </font>
    <font>
      <sz val="11"/>
      <color rgb="FFFF0000"/>
      <name val="ＭＳ Ｐゴシック"/>
      <family val="3"/>
      <charset val="128"/>
    </font>
    <font>
      <b/>
      <sz val="11"/>
      <color rgb="FFFF0000"/>
      <name val="ＭＳ Ｐゴシック"/>
      <family val="3"/>
      <charset val="128"/>
    </font>
    <font>
      <b/>
      <sz val="16"/>
      <name val="ＭＳ Ｐゴシック"/>
      <family val="3"/>
      <charset val="128"/>
    </font>
    <font>
      <u/>
      <sz val="11"/>
      <color theme="10"/>
      <name val="ＭＳ Ｐゴシック"/>
      <family val="3"/>
      <charset val="128"/>
    </font>
    <font>
      <b/>
      <sz val="16"/>
      <color rgb="FFFF0000"/>
      <name val="ＭＳ Ｐゴシック"/>
      <family val="3"/>
      <charset val="128"/>
    </font>
    <font>
      <sz val="10"/>
      <color rgb="FFFF0000"/>
      <name val="Meiryo UI"/>
      <family val="3"/>
      <charset val="128"/>
    </font>
    <font>
      <b/>
      <sz val="11"/>
      <color theme="4" tint="-0.249977111117893"/>
      <name val="ＭＳ Ｐゴシック"/>
      <family val="3"/>
      <charset val="128"/>
    </font>
    <font>
      <b/>
      <sz val="11"/>
      <color rgb="FF00B050"/>
      <name val="ＭＳ Ｐゴシック"/>
      <family val="3"/>
      <charset val="128"/>
    </font>
    <font>
      <sz val="11"/>
      <color theme="1"/>
      <name val="ＭＳ Ｐゴシック"/>
      <family val="3"/>
      <charset val="128"/>
    </font>
    <font>
      <sz val="11"/>
      <name val="Meiryo UI"/>
      <family val="3"/>
      <charset val="128"/>
    </font>
    <font>
      <b/>
      <u/>
      <sz val="11"/>
      <name val="ＭＳ Ｐゴシック"/>
      <family val="3"/>
      <charset val="128"/>
    </font>
    <font>
      <sz val="11"/>
      <color theme="1"/>
      <name val="Calibri"/>
      <family val="2"/>
      <charset val="128"/>
      <scheme val="minor"/>
    </font>
    <font>
      <u/>
      <sz val="11"/>
      <color theme="10"/>
      <name val="Calibri"/>
      <family val="2"/>
      <scheme val="minor"/>
    </font>
    <font>
      <sz val="13"/>
      <name val="ＭＳ Ｐゴシック"/>
      <family val="3"/>
      <charset val="128"/>
    </font>
    <font>
      <sz val="13"/>
      <name val="Meiryo UI"/>
      <family val="3"/>
      <charset val="128"/>
    </font>
    <font>
      <sz val="13"/>
      <color rgb="FFFF0000"/>
      <name val="ＭＳ Ｐゴシック"/>
      <family val="3"/>
      <charset val="128"/>
    </font>
  </fonts>
  <fills count="13">
    <fill>
      <patternFill patternType="none"/>
    </fill>
    <fill>
      <patternFill patternType="gray125"/>
    </fill>
    <fill>
      <patternFill patternType="solid">
        <fgColor indexed="65"/>
        <bgColor indexed="64"/>
      </patternFill>
    </fill>
    <fill>
      <patternFill patternType="solid">
        <fgColor rgb="FFCCFFFF"/>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66CCFF"/>
        <bgColor indexed="64"/>
      </patternFill>
    </fill>
    <fill>
      <patternFill patternType="solid">
        <fgColor indexed="9"/>
        <bgColor indexed="64"/>
      </patternFill>
    </fill>
    <fill>
      <patternFill patternType="solid">
        <fgColor theme="4" tint="0.59999389629810485"/>
        <bgColor indexed="64"/>
      </patternFill>
    </fill>
    <fill>
      <patternFill patternType="solid">
        <fgColor rgb="FF92D050"/>
        <bgColor indexed="64"/>
      </patternFill>
    </fill>
    <fill>
      <patternFill patternType="solid">
        <fgColor indexed="22"/>
        <bgColor indexed="64"/>
      </patternFill>
    </fill>
  </fills>
  <borders count="10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hair">
        <color indexed="64"/>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top/>
      <bottom style="medium">
        <color indexed="64"/>
      </bottom>
      <diagonal/>
    </border>
    <border>
      <left/>
      <right/>
      <top style="medium">
        <color indexed="64"/>
      </top>
      <bottom/>
      <diagonal/>
    </border>
    <border>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hair">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hair">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double">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15">
    <xf numFmtId="0" fontId="0" fillId="0" borderId="0">
      <alignment vertical="center"/>
    </xf>
    <xf numFmtId="38" fontId="2" fillId="0" borderId="0">
      <alignment vertical="center"/>
    </xf>
    <xf numFmtId="0" fontId="2" fillId="0" borderId="0"/>
    <xf numFmtId="0" fontId="2" fillId="0" borderId="0">
      <alignment vertical="center"/>
    </xf>
    <xf numFmtId="38" fontId="2" fillId="0" borderId="0">
      <alignment vertical="center"/>
    </xf>
    <xf numFmtId="0" fontId="2" fillId="0" borderId="0"/>
    <xf numFmtId="0" fontId="2" fillId="0" borderId="0">
      <alignment vertical="center"/>
    </xf>
    <xf numFmtId="0" fontId="2" fillId="0" borderId="0">
      <alignment vertical="center"/>
    </xf>
    <xf numFmtId="0" fontId="22" fillId="0" borderId="0">
      <alignment vertical="center"/>
    </xf>
    <xf numFmtId="0" fontId="2" fillId="0" borderId="0"/>
    <xf numFmtId="0" fontId="2" fillId="0" borderId="0">
      <alignment vertical="center"/>
    </xf>
    <xf numFmtId="0" fontId="1" fillId="0" borderId="0"/>
    <xf numFmtId="0" fontId="1" fillId="0" borderId="0"/>
    <xf numFmtId="0" fontId="30" fillId="0" borderId="0">
      <alignment vertical="center"/>
    </xf>
    <xf numFmtId="0" fontId="31" fillId="0" borderId="0"/>
  </cellStyleXfs>
  <cellXfs count="387">
    <xf numFmtId="0" fontId="0" fillId="0" borderId="0" xfId="0" applyAlignment="1">
      <alignment vertical="center"/>
    </xf>
    <xf numFmtId="49" fontId="3" fillId="0" borderId="0" xfId="0" applyNumberFormat="1" applyFont="1" applyAlignment="1">
      <alignment vertical="top"/>
    </xf>
    <xf numFmtId="0" fontId="3" fillId="0" borderId="12" xfId="3" applyFont="1" applyBorder="1" applyAlignment="1">
      <alignment vertical="top"/>
    </xf>
    <xf numFmtId="0" fontId="3" fillId="0" borderId="17" xfId="3" applyFont="1" applyBorder="1" applyAlignment="1">
      <alignment vertical="top"/>
    </xf>
    <xf numFmtId="49" fontId="6" fillId="0" borderId="19" xfId="0" applyNumberFormat="1" applyFont="1" applyBorder="1" applyAlignment="1">
      <alignment vertical="top" wrapText="1"/>
    </xf>
    <xf numFmtId="49" fontId="6" fillId="0" borderId="20" xfId="0" applyNumberFormat="1" applyFont="1" applyBorder="1" applyAlignment="1">
      <alignment vertical="top" wrapText="1"/>
    </xf>
    <xf numFmtId="49" fontId="3" fillId="0" borderId="13" xfId="0" applyNumberFormat="1" applyFont="1" applyBorder="1" applyAlignment="1">
      <alignment vertical="top" wrapText="1"/>
    </xf>
    <xf numFmtId="49" fontId="3" fillId="0" borderId="14" xfId="0" applyNumberFormat="1" applyFont="1" applyBorder="1" applyAlignment="1">
      <alignment vertical="top" wrapText="1"/>
    </xf>
    <xf numFmtId="0" fontId="3" fillId="0" borderId="29" xfId="3" applyFont="1" applyBorder="1" applyAlignment="1">
      <alignment vertical="top"/>
    </xf>
    <xf numFmtId="49" fontId="3" fillId="2" borderId="0" xfId="0" applyNumberFormat="1" applyFont="1" applyFill="1" applyAlignment="1">
      <alignment vertical="top"/>
    </xf>
    <xf numFmtId="0" fontId="3" fillId="0" borderId="0" xfId="2" applyFont="1" applyAlignment="1">
      <alignment vertical="top"/>
    </xf>
    <xf numFmtId="38" fontId="3" fillId="0" borderId="0" xfId="1" applyFont="1" applyAlignment="1">
      <alignment vertical="top"/>
    </xf>
    <xf numFmtId="49" fontId="6" fillId="0" borderId="32" xfId="0" applyNumberFormat="1" applyFont="1" applyBorder="1" applyAlignment="1">
      <alignment vertical="top" wrapText="1"/>
    </xf>
    <xf numFmtId="0" fontId="3" fillId="0" borderId="42" xfId="3" applyFont="1" applyBorder="1" applyAlignment="1">
      <alignment vertical="top"/>
    </xf>
    <xf numFmtId="40" fontId="6" fillId="0" borderId="42" xfId="4" applyNumberFormat="1" applyFont="1" applyBorder="1" applyAlignment="1">
      <alignment vertical="top"/>
    </xf>
    <xf numFmtId="40" fontId="6" fillId="0" borderId="43" xfId="4" applyNumberFormat="1" applyFont="1" applyBorder="1" applyAlignment="1">
      <alignment vertical="top"/>
    </xf>
    <xf numFmtId="40" fontId="6" fillId="0" borderId="29" xfId="4" applyNumberFormat="1" applyFont="1" applyBorder="1" applyAlignment="1">
      <alignment vertical="top"/>
    </xf>
    <xf numFmtId="40" fontId="6" fillId="0" borderId="31" xfId="4" applyNumberFormat="1" applyFont="1" applyBorder="1" applyAlignment="1">
      <alignment vertical="top"/>
    </xf>
    <xf numFmtId="49" fontId="3" fillId="0" borderId="44" xfId="0" applyNumberFormat="1" applyFont="1" applyBorder="1" applyAlignment="1">
      <alignment vertical="top"/>
    </xf>
    <xf numFmtId="49" fontId="6" fillId="0" borderId="43" xfId="0" applyNumberFormat="1" applyFont="1" applyBorder="1" applyAlignment="1">
      <alignment vertical="top" wrapText="1"/>
    </xf>
    <xf numFmtId="49" fontId="6" fillId="0" borderId="39" xfId="0" applyNumberFormat="1" applyFont="1" applyBorder="1" applyAlignment="1">
      <alignment vertical="top" wrapText="1"/>
    </xf>
    <xf numFmtId="49" fontId="6" fillId="0" borderId="18" xfId="0" applyNumberFormat="1" applyFont="1" applyBorder="1" applyAlignment="1">
      <alignment vertical="top" wrapText="1"/>
    </xf>
    <xf numFmtId="49" fontId="6" fillId="0" borderId="31" xfId="0" applyNumberFormat="1" applyFont="1" applyBorder="1" applyAlignment="1">
      <alignment vertical="top" wrapText="1"/>
    </xf>
    <xf numFmtId="49" fontId="6" fillId="0" borderId="33" xfId="0" applyNumberFormat="1" applyFont="1" applyBorder="1" applyAlignment="1">
      <alignment vertical="top" wrapText="1"/>
    </xf>
    <xf numFmtId="49" fontId="3" fillId="0" borderId="8" xfId="3" applyNumberFormat="1" applyFont="1" applyBorder="1" applyAlignment="1">
      <alignment vertical="top" wrapText="1"/>
    </xf>
    <xf numFmtId="49" fontId="3" fillId="0" borderId="14" xfId="3" applyNumberFormat="1" applyFont="1" applyBorder="1" applyAlignment="1">
      <alignment vertical="top" wrapText="1"/>
    </xf>
    <xf numFmtId="49" fontId="3" fillId="0" borderId="38" xfId="3" applyNumberFormat="1" applyFont="1" applyBorder="1" applyAlignment="1">
      <alignment vertical="top" wrapText="1"/>
    </xf>
    <xf numFmtId="40" fontId="6" fillId="0" borderId="23" xfId="4" applyNumberFormat="1" applyFont="1" applyBorder="1" applyAlignment="1">
      <alignment vertical="top" wrapText="1" shrinkToFit="1"/>
    </xf>
    <xf numFmtId="40" fontId="6" fillId="0" borderId="45" xfId="4" applyNumberFormat="1" applyFont="1" applyBorder="1" applyAlignment="1">
      <alignment vertical="top" wrapText="1" shrinkToFit="1"/>
    </xf>
    <xf numFmtId="40" fontId="6" fillId="0" borderId="44" xfId="4" applyNumberFormat="1" applyFont="1" applyBorder="1" applyAlignment="1">
      <alignment vertical="top" wrapText="1" shrinkToFit="1"/>
    </xf>
    <xf numFmtId="40" fontId="3" fillId="3" borderId="37" xfId="1" applyNumberFormat="1" applyFont="1" applyFill="1" applyBorder="1" applyAlignment="1">
      <alignment vertical="top"/>
    </xf>
    <xf numFmtId="40" fontId="3" fillId="3" borderId="38" xfId="1" applyNumberFormat="1" applyFont="1" applyFill="1" applyBorder="1" applyAlignment="1">
      <alignment vertical="top"/>
    </xf>
    <xf numFmtId="40" fontId="3" fillId="3" borderId="46" xfId="1" applyNumberFormat="1" applyFont="1" applyFill="1" applyBorder="1" applyAlignment="1">
      <alignment vertical="top"/>
    </xf>
    <xf numFmtId="49" fontId="6" fillId="0" borderId="15" xfId="0" applyNumberFormat="1" applyFont="1" applyBorder="1" applyAlignment="1">
      <alignment vertical="top" wrapText="1"/>
    </xf>
    <xf numFmtId="49" fontId="5" fillId="5" borderId="4" xfId="0" applyNumberFormat="1" applyFont="1" applyFill="1" applyBorder="1" applyAlignment="1">
      <alignment vertical="top"/>
    </xf>
    <xf numFmtId="49" fontId="5" fillId="5" borderId="5" xfId="0" applyNumberFormat="1" applyFont="1" applyFill="1" applyBorder="1" applyAlignment="1">
      <alignment vertical="top"/>
    </xf>
    <xf numFmtId="40" fontId="6" fillId="0" borderId="33" xfId="4" applyNumberFormat="1" applyFont="1" applyBorder="1" applyAlignment="1">
      <alignment vertical="top"/>
    </xf>
    <xf numFmtId="49" fontId="3" fillId="0" borderId="43" xfId="3" applyNumberFormat="1" applyFont="1" applyBorder="1" applyAlignment="1">
      <alignment vertical="top" wrapText="1"/>
    </xf>
    <xf numFmtId="49" fontId="3" fillId="0" borderId="31" xfId="3" applyNumberFormat="1" applyFont="1" applyBorder="1" applyAlignment="1">
      <alignment vertical="top" wrapText="1"/>
    </xf>
    <xf numFmtId="49" fontId="6" fillId="6" borderId="18" xfId="0" applyNumberFormat="1" applyFont="1" applyFill="1" applyBorder="1" applyAlignment="1">
      <alignment horizontal="center" vertical="top"/>
    </xf>
    <xf numFmtId="49" fontId="6" fillId="6" borderId="31" xfId="0" applyNumberFormat="1" applyFont="1" applyFill="1" applyBorder="1" applyAlignment="1">
      <alignment horizontal="center" vertical="top"/>
    </xf>
    <xf numFmtId="49" fontId="6" fillId="6" borderId="43" xfId="0" applyNumberFormat="1" applyFont="1" applyFill="1" applyBorder="1" applyAlignment="1">
      <alignment horizontal="center" vertical="top"/>
    </xf>
    <xf numFmtId="40" fontId="6" fillId="0" borderId="39" xfId="4" applyNumberFormat="1" applyFont="1" applyBorder="1" applyAlignment="1">
      <alignment vertical="top"/>
    </xf>
    <xf numFmtId="0" fontId="3" fillId="0" borderId="24" xfId="3" applyFont="1" applyBorder="1" applyAlignment="1">
      <alignment vertical="top"/>
    </xf>
    <xf numFmtId="49" fontId="6" fillId="0" borderId="13" xfId="0" applyNumberFormat="1" applyFont="1" applyBorder="1" applyAlignment="1">
      <alignment vertical="top" wrapText="1"/>
    </xf>
    <xf numFmtId="49" fontId="6" fillId="0" borderId="25" xfId="0" applyNumberFormat="1" applyFont="1" applyBorder="1" applyAlignment="1">
      <alignment vertical="top" wrapText="1"/>
    </xf>
    <xf numFmtId="49" fontId="6" fillId="6" borderId="31" xfId="0" applyNumberFormat="1" applyFont="1" applyFill="1" applyBorder="1" applyAlignment="1">
      <alignment vertical="top" wrapText="1"/>
    </xf>
    <xf numFmtId="0" fontId="5" fillId="5" borderId="34" xfId="2" applyFont="1" applyFill="1" applyBorder="1" applyAlignment="1">
      <alignment horizontal="center" vertical="top" wrapText="1"/>
    </xf>
    <xf numFmtId="40" fontId="6" fillId="0" borderId="11" xfId="4" applyNumberFormat="1" applyFont="1" applyBorder="1" applyAlignment="1">
      <alignment vertical="top" wrapText="1" shrinkToFit="1"/>
    </xf>
    <xf numFmtId="49" fontId="3" fillId="6" borderId="43" xfId="3" applyNumberFormat="1" applyFont="1" applyFill="1" applyBorder="1" applyAlignment="1">
      <alignment vertical="top" wrapText="1"/>
    </xf>
    <xf numFmtId="49" fontId="6" fillId="0" borderId="8" xfId="0" applyNumberFormat="1" applyFont="1" applyBorder="1" applyAlignment="1">
      <alignment vertical="top" wrapText="1"/>
    </xf>
    <xf numFmtId="49" fontId="6" fillId="0" borderId="14" xfId="0" applyNumberFormat="1" applyFont="1" applyBorder="1" applyAlignment="1">
      <alignment vertical="top" wrapText="1"/>
    </xf>
    <xf numFmtId="49" fontId="3" fillId="0" borderId="51" xfId="3" applyNumberFormat="1" applyFont="1" applyBorder="1" applyAlignment="1">
      <alignment vertical="top" wrapText="1"/>
    </xf>
    <xf numFmtId="49" fontId="3" fillId="0" borderId="27" xfId="3" applyNumberFormat="1" applyFont="1" applyBorder="1" applyAlignment="1">
      <alignment vertical="top" wrapText="1"/>
    </xf>
    <xf numFmtId="49" fontId="3" fillId="0" borderId="30" xfId="3" applyNumberFormat="1" applyFont="1" applyBorder="1" applyAlignment="1">
      <alignment vertical="top" wrapText="1"/>
    </xf>
    <xf numFmtId="49" fontId="3" fillId="0" borderId="13" xfId="3" applyNumberFormat="1" applyFont="1" applyBorder="1" applyAlignment="1">
      <alignment vertical="top" wrapText="1"/>
    </xf>
    <xf numFmtId="49" fontId="3" fillId="0" borderId="15" xfId="3" applyNumberFormat="1" applyFont="1" applyBorder="1" applyAlignment="1">
      <alignment vertical="top" wrapText="1"/>
    </xf>
    <xf numFmtId="49" fontId="3" fillId="0" borderId="31" xfId="0" applyNumberFormat="1" applyFont="1" applyBorder="1" applyAlignment="1">
      <alignment vertical="top" wrapText="1"/>
    </xf>
    <xf numFmtId="49" fontId="3" fillId="0" borderId="38" xfId="0" applyNumberFormat="1" applyFont="1" applyBorder="1" applyAlignment="1">
      <alignment vertical="top" wrapText="1"/>
    </xf>
    <xf numFmtId="49" fontId="6" fillId="0" borderId="8" xfId="0" applyNumberFormat="1" applyFont="1" applyBorder="1" applyAlignment="1">
      <alignment horizontal="center" vertical="top"/>
    </xf>
    <xf numFmtId="49" fontId="3" fillId="0" borderId="8" xfId="0" applyNumberFormat="1" applyFont="1" applyBorder="1" applyAlignment="1">
      <alignment vertical="top" wrapText="1"/>
    </xf>
    <xf numFmtId="40" fontId="6" fillId="0" borderId="7" xfId="4" applyNumberFormat="1" applyFont="1" applyBorder="1" applyAlignment="1">
      <alignment vertical="top"/>
    </xf>
    <xf numFmtId="40" fontId="6" fillId="0" borderId="8" xfId="4" applyNumberFormat="1" applyFont="1" applyBorder="1" applyAlignment="1">
      <alignment vertical="top"/>
    </xf>
    <xf numFmtId="40" fontId="6" fillId="0" borderId="10" xfId="4" applyNumberFormat="1" applyFont="1" applyBorder="1" applyAlignment="1">
      <alignment vertical="top"/>
    </xf>
    <xf numFmtId="49" fontId="3" fillId="0" borderId="18" xfId="0" applyNumberFormat="1" applyFont="1" applyBorder="1" applyAlignment="1">
      <alignment vertical="top" wrapText="1"/>
    </xf>
    <xf numFmtId="0" fontId="7" fillId="0" borderId="0" xfId="5" applyFont="1" applyAlignment="1">
      <alignment vertical="top"/>
    </xf>
    <xf numFmtId="0" fontId="9" fillId="0" borderId="21" xfId="6" applyFont="1" applyBorder="1" applyAlignment="1">
      <alignment vertical="top"/>
    </xf>
    <xf numFmtId="166" fontId="9" fillId="0" borderId="18" xfId="6" applyNumberFormat="1" applyFont="1" applyBorder="1" applyAlignment="1">
      <alignment vertical="top"/>
    </xf>
    <xf numFmtId="0" fontId="8" fillId="0" borderId="0" xfId="5" applyFont="1" applyAlignment="1">
      <alignment horizontal="right" vertical="top"/>
    </xf>
    <xf numFmtId="40" fontId="5" fillId="4" borderId="11" xfId="1" applyNumberFormat="1" applyFont="1" applyFill="1" applyBorder="1" applyAlignment="1">
      <alignment vertical="top"/>
    </xf>
    <xf numFmtId="40" fontId="5" fillId="4" borderId="45" xfId="1" applyNumberFormat="1" applyFont="1" applyFill="1" applyBorder="1" applyAlignment="1">
      <alignment vertical="top"/>
    </xf>
    <xf numFmtId="0" fontId="3" fillId="7" borderId="1" xfId="0" applyFont="1" applyFill="1" applyBorder="1" applyAlignment="1">
      <alignment vertical="top"/>
    </xf>
    <xf numFmtId="49" fontId="5" fillId="7" borderId="2" xfId="0" applyNumberFormat="1" applyFont="1" applyFill="1" applyBorder="1" applyAlignment="1">
      <alignment vertical="top" wrapText="1"/>
    </xf>
    <xf numFmtId="49" fontId="3" fillId="7" borderId="2" xfId="0" applyNumberFormat="1" applyFont="1" applyFill="1" applyBorder="1" applyAlignment="1">
      <alignment vertical="top"/>
    </xf>
    <xf numFmtId="49" fontId="3" fillId="7" borderId="2" xfId="0" applyNumberFormat="1" applyFont="1" applyFill="1" applyBorder="1" applyAlignment="1">
      <alignment vertical="top" wrapText="1"/>
    </xf>
    <xf numFmtId="49" fontId="5" fillId="7" borderId="2" xfId="3" applyNumberFormat="1" applyFont="1" applyFill="1" applyBorder="1" applyAlignment="1">
      <alignment vertical="top"/>
    </xf>
    <xf numFmtId="40" fontId="3" fillId="7" borderId="2" xfId="1" applyNumberFormat="1" applyFont="1" applyFill="1" applyBorder="1" applyAlignment="1">
      <alignment vertical="top"/>
    </xf>
    <xf numFmtId="49" fontId="3" fillId="7" borderId="3" xfId="0" applyNumberFormat="1" applyFont="1" applyFill="1" applyBorder="1" applyAlignment="1">
      <alignment vertical="top" wrapText="1"/>
    </xf>
    <xf numFmtId="0" fontId="9" fillId="8" borderId="1" xfId="6" applyFont="1" applyFill="1" applyBorder="1" applyAlignment="1">
      <alignment horizontal="center" vertical="top"/>
    </xf>
    <xf numFmtId="0" fontId="9" fillId="8" borderId="5" xfId="6" applyFont="1" applyFill="1" applyBorder="1" applyAlignment="1">
      <alignment horizontal="center" vertical="top"/>
    </xf>
    <xf numFmtId="0" fontId="10" fillId="7" borderId="1" xfId="6" applyFont="1" applyFill="1" applyBorder="1" applyAlignment="1">
      <alignment vertical="top"/>
    </xf>
    <xf numFmtId="0" fontId="10" fillId="7" borderId="35" xfId="6" applyFont="1" applyFill="1" applyBorder="1" applyAlignment="1">
      <alignment vertical="top"/>
    </xf>
    <xf numFmtId="49" fontId="6" fillId="0" borderId="9" xfId="0" applyNumberFormat="1" applyFont="1" applyBorder="1" applyAlignment="1">
      <alignment vertical="top" wrapText="1"/>
    </xf>
    <xf numFmtId="49" fontId="6" fillId="0" borderId="40" xfId="0" applyNumberFormat="1" applyFont="1" applyBorder="1" applyAlignment="1">
      <alignment vertical="top" wrapText="1"/>
    </xf>
    <xf numFmtId="0" fontId="9" fillId="8" borderId="34" xfId="6" applyFont="1" applyFill="1" applyBorder="1" applyAlignment="1">
      <alignment horizontal="center" vertical="top"/>
    </xf>
    <xf numFmtId="168" fontId="10" fillId="0" borderId="34" xfId="6" applyNumberFormat="1" applyFont="1" applyBorder="1" applyAlignment="1">
      <alignment vertical="top"/>
    </xf>
    <xf numFmtId="0" fontId="11" fillId="0" borderId="18" xfId="0" applyFont="1" applyBorder="1" applyAlignment="1">
      <alignment vertical="center"/>
    </xf>
    <xf numFmtId="0" fontId="11" fillId="0" borderId="0" xfId="0" applyFont="1" applyAlignment="1">
      <alignment vertical="center" wrapText="1"/>
    </xf>
    <xf numFmtId="0" fontId="11" fillId="0" borderId="0" xfId="0" applyFont="1" applyAlignment="1">
      <alignment wrapText="1"/>
    </xf>
    <xf numFmtId="0" fontId="11" fillId="0" borderId="19" xfId="0" applyFont="1" applyBorder="1" applyAlignment="1">
      <alignment vertical="top" wrapText="1"/>
    </xf>
    <xf numFmtId="0" fontId="11" fillId="0" borderId="18" xfId="0" applyFont="1" applyBorder="1" applyAlignment="1">
      <alignment vertical="top" wrapText="1"/>
    </xf>
    <xf numFmtId="0" fontId="13" fillId="0" borderId="33" xfId="0" applyFont="1" applyBorder="1" applyAlignment="1">
      <alignment vertical="top" wrapText="1"/>
    </xf>
    <xf numFmtId="0" fontId="11" fillId="9" borderId="18" xfId="0" applyFont="1" applyFill="1" applyBorder="1" applyAlignment="1">
      <alignment vertical="top" wrapText="1"/>
    </xf>
    <xf numFmtId="0" fontId="14" fillId="0" borderId="0" xfId="0" applyFont="1" applyAlignment="1">
      <alignment wrapText="1"/>
    </xf>
    <xf numFmtId="0" fontId="11" fillId="10" borderId="53" xfId="0" applyFont="1" applyFill="1" applyBorder="1" applyAlignment="1">
      <alignment vertical="top" wrapText="1"/>
    </xf>
    <xf numFmtId="0" fontId="11" fillId="10" borderId="54" xfId="0" applyFont="1" applyFill="1" applyBorder="1" applyAlignment="1">
      <alignment horizontal="center" vertical="top" wrapText="1"/>
    </xf>
    <xf numFmtId="0" fontId="11" fillId="10" borderId="55" xfId="0" applyFont="1" applyFill="1" applyBorder="1" applyAlignment="1">
      <alignment horizontal="center" vertical="top" wrapText="1"/>
    </xf>
    <xf numFmtId="0" fontId="0" fillId="0" borderId="0" xfId="0" applyAlignment="1">
      <alignment horizontal="left" vertical="center"/>
    </xf>
    <xf numFmtId="0" fontId="11" fillId="0" borderId="0" xfId="0" applyFont="1" applyAlignment="1">
      <alignment vertical="center"/>
    </xf>
    <xf numFmtId="0" fontId="15" fillId="0" borderId="0" xfId="0" applyFont="1" applyAlignment="1">
      <alignment horizontal="left" vertical="center" readingOrder="1"/>
    </xf>
    <xf numFmtId="0" fontId="17" fillId="9" borderId="42" xfId="0" applyFont="1" applyFill="1" applyBorder="1" applyAlignment="1">
      <alignment vertical="top" wrapText="1"/>
    </xf>
    <xf numFmtId="0" fontId="17" fillId="9" borderId="12" xfId="0" applyFont="1" applyFill="1" applyBorder="1" applyAlignment="1">
      <alignment vertical="top" wrapText="1"/>
    </xf>
    <xf numFmtId="0" fontId="11" fillId="9" borderId="19" xfId="0" applyFont="1" applyFill="1" applyBorder="1" applyAlignment="1">
      <alignment vertical="top" wrapText="1"/>
    </xf>
    <xf numFmtId="0" fontId="3" fillId="0" borderId="0" xfId="0" applyFont="1" applyAlignment="1">
      <alignment vertical="top"/>
    </xf>
    <xf numFmtId="0" fontId="0" fillId="0" borderId="17" xfId="0" applyBorder="1" applyAlignment="1"/>
    <xf numFmtId="0" fontId="0" fillId="0" borderId="19" xfId="0" applyBorder="1" applyAlignment="1"/>
    <xf numFmtId="0" fontId="0" fillId="0" borderId="18" xfId="0" applyBorder="1" applyAlignment="1"/>
    <xf numFmtId="0" fontId="3" fillId="0" borderId="4" xfId="3" applyFont="1" applyBorder="1" applyAlignment="1">
      <alignment vertical="top"/>
    </xf>
    <xf numFmtId="49" fontId="6" fillId="0" borderId="34" xfId="0" applyNumberFormat="1" applyFont="1" applyBorder="1" applyAlignment="1">
      <alignment vertical="top" wrapText="1"/>
    </xf>
    <xf numFmtId="40" fontId="6" fillId="0" borderId="3" xfId="4" applyNumberFormat="1" applyFont="1" applyBorder="1" applyAlignment="1">
      <alignment vertical="top" wrapText="1" shrinkToFit="1"/>
    </xf>
    <xf numFmtId="0" fontId="0" fillId="0" borderId="20" xfId="0" applyBorder="1" applyAlignment="1"/>
    <xf numFmtId="0" fontId="18" fillId="7" borderId="4" xfId="0" applyFont="1" applyFill="1" applyBorder="1" applyAlignment="1"/>
    <xf numFmtId="0" fontId="18" fillId="7" borderId="34" xfId="0" applyFont="1" applyFill="1" applyBorder="1" applyAlignment="1"/>
    <xf numFmtId="0" fontId="0" fillId="0" borderId="56" xfId="0" applyBorder="1" applyAlignment="1"/>
    <xf numFmtId="0" fontId="0" fillId="0" borderId="57" xfId="0" applyBorder="1" applyAlignment="1"/>
    <xf numFmtId="0" fontId="0" fillId="0" borderId="58" xfId="0" applyBorder="1" applyAlignment="1"/>
    <xf numFmtId="0" fontId="0" fillId="0" borderId="59" xfId="0" applyBorder="1" applyAlignment="1"/>
    <xf numFmtId="0" fontId="0" fillId="0" borderId="60" xfId="0" applyBorder="1" applyAlignment="1"/>
    <xf numFmtId="0" fontId="0" fillId="0" borderId="61" xfId="0" applyBorder="1" applyAlignment="1"/>
    <xf numFmtId="0" fontId="0" fillId="0" borderId="62" xfId="0" applyBorder="1" applyAlignment="1"/>
    <xf numFmtId="0" fontId="0" fillId="0" borderId="63" xfId="0" applyBorder="1" applyAlignment="1"/>
    <xf numFmtId="0" fontId="0" fillId="0" borderId="64" xfId="0" applyBorder="1" applyAlignment="1">
      <alignment horizontal="left" vertical="top"/>
    </xf>
    <xf numFmtId="0" fontId="0" fillId="0" borderId="67" xfId="0" applyBorder="1" applyAlignment="1"/>
    <xf numFmtId="0" fontId="0" fillId="0" borderId="68" xfId="0" applyBorder="1" applyAlignment="1"/>
    <xf numFmtId="0" fontId="0" fillId="0" borderId="69" xfId="0" applyBorder="1" applyAlignment="1"/>
    <xf numFmtId="0" fontId="0" fillId="0" borderId="70" xfId="0" applyBorder="1" applyAlignment="1"/>
    <xf numFmtId="0" fontId="0" fillId="0" borderId="37" xfId="0" applyBorder="1" applyAlignment="1"/>
    <xf numFmtId="0" fontId="0" fillId="0" borderId="38" xfId="0" applyBorder="1" applyAlignment="1"/>
    <xf numFmtId="0" fontId="0" fillId="0" borderId="71" xfId="0" applyBorder="1" applyAlignment="1"/>
    <xf numFmtId="14" fontId="0" fillId="0" borderId="37" xfId="0" applyNumberFormat="1" applyBorder="1" applyAlignment="1"/>
    <xf numFmtId="14" fontId="0" fillId="0" borderId="46" xfId="0" applyNumberFormat="1" applyBorder="1" applyAlignment="1"/>
    <xf numFmtId="0" fontId="0" fillId="0" borderId="46" xfId="0" applyBorder="1" applyAlignment="1"/>
    <xf numFmtId="14" fontId="0" fillId="0" borderId="67" xfId="0" applyNumberFormat="1" applyBorder="1" applyAlignment="1"/>
    <xf numFmtId="14" fontId="0" fillId="0" borderId="70" xfId="0" applyNumberFormat="1" applyBorder="1" applyAlignment="1"/>
    <xf numFmtId="14" fontId="0" fillId="0" borderId="60" xfId="0" applyNumberFormat="1" applyBorder="1" applyAlignment="1"/>
    <xf numFmtId="0" fontId="0" fillId="0" borderId="7" xfId="0" applyBorder="1" applyAlignment="1">
      <alignment vertical="center"/>
    </xf>
    <xf numFmtId="0" fontId="0" fillId="0" borderId="59" xfId="0" applyBorder="1" applyAlignment="1">
      <alignment horizontal="left" vertical="center"/>
    </xf>
    <xf numFmtId="0" fontId="0" fillId="0" borderId="66" xfId="0" applyBorder="1" applyAlignment="1">
      <alignment horizontal="left" vertical="center"/>
    </xf>
    <xf numFmtId="0" fontId="0" fillId="0" borderId="24" xfId="0" applyBorder="1" applyAlignment="1">
      <alignment horizontal="left" vertical="center"/>
    </xf>
    <xf numFmtId="0" fontId="0" fillId="0" borderId="70" xfId="0" applyBorder="1" applyAlignment="1">
      <alignment horizontal="left" vertical="center"/>
    </xf>
    <xf numFmtId="0" fontId="0" fillId="0" borderId="12" xfId="0" applyBorder="1" applyAlignment="1">
      <alignment horizontal="left" vertical="center"/>
    </xf>
    <xf numFmtId="0" fontId="0" fillId="0" borderId="63" xfId="0" applyBorder="1" applyAlignment="1">
      <alignment horizontal="left" vertical="center"/>
    </xf>
    <xf numFmtId="14" fontId="19" fillId="0" borderId="63" xfId="0" applyNumberFormat="1" applyFont="1" applyBorder="1" applyAlignment="1">
      <alignment horizontal="center" vertical="center"/>
    </xf>
    <xf numFmtId="49" fontId="6" fillId="0" borderId="43" xfId="0" applyNumberFormat="1" applyFont="1" applyBorder="1" applyAlignment="1">
      <alignment horizontal="left" vertical="top" wrapText="1"/>
    </xf>
    <xf numFmtId="0" fontId="5" fillId="5" borderId="31" xfId="2" applyFont="1" applyFill="1" applyBorder="1" applyAlignment="1">
      <alignment vertical="top" wrapText="1"/>
    </xf>
    <xf numFmtId="49" fontId="5" fillId="5" borderId="13" xfId="0" applyNumberFormat="1" applyFont="1" applyFill="1" applyBorder="1" applyAlignment="1">
      <alignment horizontal="left" vertical="top"/>
    </xf>
    <xf numFmtId="0" fontId="5" fillId="5" borderId="38" xfId="2" applyFont="1" applyFill="1" applyBorder="1" applyAlignment="1">
      <alignment vertical="top" wrapText="1"/>
    </xf>
    <xf numFmtId="40" fontId="5" fillId="0" borderId="39" xfId="1" applyNumberFormat="1" applyFont="1" applyBorder="1" applyAlignment="1">
      <alignment vertical="top"/>
    </xf>
    <xf numFmtId="40" fontId="5" fillId="0" borderId="33" xfId="1" applyNumberFormat="1" applyFont="1" applyBorder="1" applyAlignment="1">
      <alignment vertical="top"/>
    </xf>
    <xf numFmtId="40" fontId="5" fillId="0" borderId="19" xfId="1" applyNumberFormat="1" applyFont="1" applyBorder="1" applyAlignment="1">
      <alignment vertical="top"/>
    </xf>
    <xf numFmtId="49" fontId="5" fillId="5" borderId="47" xfId="0" applyNumberFormat="1" applyFont="1" applyFill="1" applyBorder="1" applyAlignment="1">
      <alignment vertical="top"/>
    </xf>
    <xf numFmtId="49" fontId="3" fillId="0" borderId="35" xfId="3" applyNumberFormat="1" applyFont="1" applyBorder="1" applyAlignment="1">
      <alignment vertical="top" wrapText="1"/>
    </xf>
    <xf numFmtId="49" fontId="6" fillId="6" borderId="5" xfId="0" applyNumberFormat="1" applyFont="1" applyFill="1" applyBorder="1" applyAlignment="1">
      <alignment vertical="top" wrapText="1"/>
    </xf>
    <xf numFmtId="49" fontId="6" fillId="6" borderId="5" xfId="0" applyNumberFormat="1" applyFont="1" applyFill="1" applyBorder="1" applyAlignment="1">
      <alignment horizontal="center" vertical="top"/>
    </xf>
    <xf numFmtId="49" fontId="6" fillId="0" borderId="6" xfId="0" applyNumberFormat="1" applyFont="1" applyBorder="1" applyAlignment="1">
      <alignment vertical="top" wrapText="1"/>
    </xf>
    <xf numFmtId="40" fontId="3" fillId="3" borderId="4" xfId="1" applyNumberFormat="1" applyFont="1" applyFill="1" applyBorder="1" applyAlignment="1">
      <alignment vertical="top"/>
    </xf>
    <xf numFmtId="40" fontId="3" fillId="3" borderId="5" xfId="1" applyNumberFormat="1" applyFont="1" applyFill="1" applyBorder="1" applyAlignment="1">
      <alignment vertical="top"/>
    </xf>
    <xf numFmtId="166" fontId="3" fillId="0" borderId="0" xfId="2" applyNumberFormat="1" applyFont="1" applyAlignment="1">
      <alignment vertical="top"/>
    </xf>
    <xf numFmtId="0" fontId="0" fillId="0" borderId="0" xfId="0" applyAlignment="1">
      <alignment vertical="center" wrapText="1"/>
    </xf>
    <xf numFmtId="0" fontId="0" fillId="0" borderId="18" xfId="0" applyBorder="1" applyAlignment="1">
      <alignment vertical="center"/>
    </xf>
    <xf numFmtId="0" fontId="0" fillId="0" borderId="18" xfId="0" applyBorder="1" applyAlignment="1">
      <alignment vertical="center" wrapText="1"/>
    </xf>
    <xf numFmtId="0" fontId="21" fillId="0" borderId="18" xfId="0" applyFont="1" applyBorder="1" applyAlignment="1">
      <alignment horizontal="center" vertical="center"/>
    </xf>
    <xf numFmtId="166" fontId="0" fillId="0" borderId="74" xfId="0" applyNumberFormat="1" applyBorder="1" applyAlignment="1">
      <alignment vertical="center"/>
    </xf>
    <xf numFmtId="166" fontId="0" fillId="0" borderId="75" xfId="0" applyNumberFormat="1" applyBorder="1" applyAlignment="1">
      <alignment vertical="center"/>
    </xf>
    <xf numFmtId="166" fontId="0" fillId="0" borderId="76" xfId="0" applyNumberFormat="1" applyBorder="1" applyAlignment="1">
      <alignment vertical="center"/>
    </xf>
    <xf numFmtId="0" fontId="21" fillId="0" borderId="15" xfId="0" applyFont="1" applyBorder="1" applyAlignment="1">
      <alignment horizontal="center" vertical="center"/>
    </xf>
    <xf numFmtId="0" fontId="0" fillId="0" borderId="15" xfId="0" applyBorder="1" applyAlignment="1">
      <alignment vertical="center" wrapText="1"/>
    </xf>
    <xf numFmtId="0" fontId="0" fillId="0" borderId="15" xfId="0" applyBorder="1" applyAlignment="1">
      <alignment vertical="center"/>
    </xf>
    <xf numFmtId="0" fontId="11" fillId="5" borderId="31" xfId="0" applyFont="1" applyFill="1" applyBorder="1" applyAlignment="1">
      <alignment horizontal="center" vertical="center"/>
    </xf>
    <xf numFmtId="0" fontId="11" fillId="5" borderId="31" xfId="0" applyFont="1" applyFill="1" applyBorder="1" applyAlignment="1">
      <alignment horizontal="center" vertical="center" wrapText="1"/>
    </xf>
    <xf numFmtId="0" fontId="5" fillId="5" borderId="78" xfId="2" applyFont="1" applyFill="1" applyBorder="1" applyAlignment="1">
      <alignment horizontal="center" vertical="center" wrapText="1"/>
    </xf>
    <xf numFmtId="0" fontId="5" fillId="5" borderId="79" xfId="2" applyFont="1" applyFill="1" applyBorder="1" applyAlignment="1">
      <alignment horizontal="center" vertical="center" wrapText="1"/>
    </xf>
    <xf numFmtId="0" fontId="5" fillId="5" borderId="80" xfId="2" applyFont="1" applyFill="1" applyBorder="1" applyAlignment="1">
      <alignment horizontal="center" vertical="center" wrapText="1"/>
    </xf>
    <xf numFmtId="0" fontId="23" fillId="0" borderId="81" xfId="0" applyFont="1" applyBorder="1" applyAlignment="1">
      <alignment horizontal="left" vertical="center"/>
    </xf>
    <xf numFmtId="0" fontId="23" fillId="0" borderId="27" xfId="0" applyFont="1" applyBorder="1" applyAlignment="1">
      <alignment horizontal="left" vertical="center"/>
    </xf>
    <xf numFmtId="0" fontId="0" fillId="0" borderId="0" xfId="0" applyAlignment="1">
      <alignment horizontal="right" vertical="center"/>
    </xf>
    <xf numFmtId="0" fontId="11" fillId="9" borderId="82" xfId="0" applyFont="1" applyFill="1" applyBorder="1" applyAlignment="1">
      <alignment vertical="top" wrapText="1"/>
    </xf>
    <xf numFmtId="0" fontId="12" fillId="9" borderId="19" xfId="0" applyFont="1" applyFill="1" applyBorder="1" applyAlignment="1">
      <alignment vertical="top" wrapText="1"/>
    </xf>
    <xf numFmtId="0" fontId="11" fillId="0" borderId="31" xfId="0" applyFont="1" applyBorder="1" applyAlignment="1">
      <alignment vertical="top" wrapText="1"/>
    </xf>
    <xf numFmtId="0" fontId="0" fillId="0" borderId="83" xfId="0" applyBorder="1" applyAlignment="1">
      <alignment horizontal="left" vertical="center"/>
    </xf>
    <xf numFmtId="49" fontId="5" fillId="7" borderId="72" xfId="0" applyNumberFormat="1" applyFont="1" applyFill="1" applyBorder="1" applyAlignment="1">
      <alignment vertical="top" wrapText="1"/>
    </xf>
    <xf numFmtId="49" fontId="5" fillId="7" borderId="86" xfId="3" applyNumberFormat="1" applyFont="1" applyFill="1" applyBorder="1" applyAlignment="1">
      <alignment vertical="top"/>
    </xf>
    <xf numFmtId="40" fontId="6" fillId="0" borderId="42" xfId="4" applyNumberFormat="1" applyFont="1" applyBorder="1" applyAlignment="1">
      <alignment horizontal="right" vertical="top"/>
    </xf>
    <xf numFmtId="40" fontId="6" fillId="0" borderId="43" xfId="4" applyNumberFormat="1" applyFont="1" applyBorder="1" applyAlignment="1">
      <alignment horizontal="right" vertical="top"/>
    </xf>
    <xf numFmtId="40" fontId="6" fillId="0" borderId="39" xfId="4" applyNumberFormat="1" applyFont="1" applyBorder="1" applyAlignment="1">
      <alignment horizontal="right" vertical="top"/>
    </xf>
    <xf numFmtId="40" fontId="3" fillId="7" borderId="2" xfId="1" applyNumberFormat="1" applyFont="1" applyFill="1" applyBorder="1" applyAlignment="1">
      <alignment horizontal="right" vertical="top"/>
    </xf>
    <xf numFmtId="49" fontId="6" fillId="6" borderId="43" xfId="0" applyNumberFormat="1" applyFont="1" applyFill="1" applyBorder="1" applyAlignment="1">
      <alignment vertical="top" wrapText="1"/>
    </xf>
    <xf numFmtId="49" fontId="6" fillId="6" borderId="18" xfId="0" applyNumberFormat="1" applyFont="1" applyFill="1" applyBorder="1" applyAlignment="1">
      <alignment vertical="top" wrapText="1"/>
    </xf>
    <xf numFmtId="49" fontId="3" fillId="6" borderId="18" xfId="3" applyNumberFormat="1" applyFont="1" applyFill="1" applyBorder="1" applyAlignment="1">
      <alignment vertical="top" wrapText="1"/>
    </xf>
    <xf numFmtId="49" fontId="3" fillId="6" borderId="31" xfId="3" applyNumberFormat="1" applyFont="1" applyFill="1" applyBorder="1" applyAlignment="1">
      <alignment vertical="top" wrapText="1"/>
    </xf>
    <xf numFmtId="49" fontId="3" fillId="6" borderId="35" xfId="3" applyNumberFormat="1" applyFont="1" applyFill="1" applyBorder="1" applyAlignment="1">
      <alignment vertical="top" wrapText="1"/>
    </xf>
    <xf numFmtId="0" fontId="5" fillId="6" borderId="31" xfId="2" applyFont="1" applyFill="1" applyBorder="1" applyAlignment="1">
      <alignment vertical="top" wrapText="1"/>
    </xf>
    <xf numFmtId="40" fontId="6" fillId="6" borderId="42" xfId="4" applyNumberFormat="1" applyFont="1" applyFill="1" applyBorder="1" applyAlignment="1">
      <alignment vertical="top"/>
    </xf>
    <xf numFmtId="40" fontId="6" fillId="6" borderId="43" xfId="4" applyNumberFormat="1" applyFont="1" applyFill="1" applyBorder="1" applyAlignment="1">
      <alignment vertical="top"/>
    </xf>
    <xf numFmtId="40" fontId="6" fillId="6" borderId="39" xfId="4" applyNumberFormat="1" applyFont="1" applyFill="1" applyBorder="1" applyAlignment="1">
      <alignment vertical="top"/>
    </xf>
    <xf numFmtId="40" fontId="6" fillId="6" borderId="17" xfId="4" applyNumberFormat="1" applyFont="1" applyFill="1" applyBorder="1" applyAlignment="1">
      <alignment vertical="top"/>
    </xf>
    <xf numFmtId="40" fontId="6" fillId="6" borderId="18" xfId="4" applyNumberFormat="1" applyFont="1" applyFill="1" applyBorder="1" applyAlignment="1">
      <alignment vertical="top"/>
    </xf>
    <xf numFmtId="40" fontId="6" fillId="6" borderId="19" xfId="4" applyNumberFormat="1" applyFont="1" applyFill="1" applyBorder="1" applyAlignment="1">
      <alignment vertical="top"/>
    </xf>
    <xf numFmtId="40" fontId="6" fillId="6" borderId="29" xfId="4" applyNumberFormat="1" applyFont="1" applyFill="1" applyBorder="1" applyAlignment="1">
      <alignment vertical="top"/>
    </xf>
    <xf numFmtId="40" fontId="6" fillId="6" borderId="31" xfId="4" applyNumberFormat="1" applyFont="1" applyFill="1" applyBorder="1" applyAlignment="1">
      <alignment vertical="top"/>
    </xf>
    <xf numFmtId="40" fontId="6" fillId="6" borderId="33" xfId="4" applyNumberFormat="1" applyFont="1" applyFill="1" applyBorder="1" applyAlignment="1">
      <alignment vertical="top"/>
    </xf>
    <xf numFmtId="40" fontId="6" fillId="6" borderId="4" xfId="4" applyNumberFormat="1" applyFont="1" applyFill="1" applyBorder="1" applyAlignment="1">
      <alignment vertical="top"/>
    </xf>
    <xf numFmtId="40" fontId="6" fillId="6" borderId="5" xfId="4" applyNumberFormat="1" applyFont="1" applyFill="1" applyBorder="1" applyAlignment="1">
      <alignment vertical="top"/>
    </xf>
    <xf numFmtId="40" fontId="6" fillId="6" borderId="34" xfId="4" applyNumberFormat="1" applyFont="1" applyFill="1" applyBorder="1" applyAlignment="1">
      <alignment vertical="top"/>
    </xf>
    <xf numFmtId="0" fontId="25" fillId="0" borderId="0" xfId="0" applyFont="1" applyAlignment="1">
      <alignment vertical="center"/>
    </xf>
    <xf numFmtId="0" fontId="11" fillId="0" borderId="0" xfId="0" applyFont="1" applyAlignment="1">
      <alignment horizontal="center" vertical="center"/>
    </xf>
    <xf numFmtId="0" fontId="20" fillId="0" borderId="0" xfId="0" applyFont="1" applyAlignment="1">
      <alignment vertical="center"/>
    </xf>
    <xf numFmtId="0" fontId="19" fillId="0" borderId="0" xfId="0" applyFont="1" applyAlignment="1">
      <alignment vertical="center"/>
    </xf>
    <xf numFmtId="0" fontId="11" fillId="8" borderId="18" xfId="0" applyFont="1" applyFill="1" applyBorder="1" applyAlignment="1">
      <alignment horizontal="center" vertical="center"/>
    </xf>
    <xf numFmtId="0" fontId="11" fillId="0" borderId="18" xfId="0" applyFont="1" applyBorder="1" applyAlignment="1">
      <alignment vertical="center" wrapText="1"/>
    </xf>
    <xf numFmtId="0" fontId="19" fillId="0" borderId="18" xfId="0" applyFont="1" applyBorder="1" applyAlignment="1">
      <alignment vertical="center" wrapText="1"/>
    </xf>
    <xf numFmtId="0" fontId="11" fillId="8" borderId="18" xfId="0" applyFont="1" applyFill="1" applyBorder="1" applyAlignment="1">
      <alignment vertical="center" wrapText="1"/>
    </xf>
    <xf numFmtId="0" fontId="26" fillId="0" borderId="0" xfId="0" applyFont="1" applyAlignment="1">
      <alignment vertical="center"/>
    </xf>
    <xf numFmtId="0" fontId="0" fillId="0" borderId="13" xfId="0" applyBorder="1" applyAlignment="1">
      <alignment vertical="center" wrapText="1"/>
    </xf>
    <xf numFmtId="0" fontId="28" fillId="0" borderId="0" xfId="9" applyFont="1" applyAlignment="1">
      <alignment vertical="top"/>
    </xf>
    <xf numFmtId="0" fontId="28" fillId="0" borderId="64" xfId="9" applyFont="1" applyBorder="1" applyAlignment="1">
      <alignment vertical="top"/>
    </xf>
    <xf numFmtId="0" fontId="28" fillId="0" borderId="15" xfId="9" applyFont="1" applyBorder="1" applyAlignment="1">
      <alignment vertical="top"/>
    </xf>
    <xf numFmtId="0" fontId="28" fillId="0" borderId="15" xfId="9" applyFont="1" applyBorder="1" applyAlignment="1">
      <alignment vertical="top" wrapText="1"/>
    </xf>
    <xf numFmtId="0" fontId="28" fillId="0" borderId="18" xfId="9" applyFont="1" applyBorder="1" applyAlignment="1">
      <alignment vertical="top"/>
    </xf>
    <xf numFmtId="0" fontId="28" fillId="0" borderId="18" xfId="9" applyFont="1" applyBorder="1" applyAlignment="1">
      <alignment vertical="top" wrapText="1"/>
    </xf>
    <xf numFmtId="0" fontId="28" fillId="0" borderId="48" xfId="9" applyFont="1" applyBorder="1" applyAlignment="1">
      <alignment vertical="top"/>
    </xf>
    <xf numFmtId="0" fontId="28" fillId="0" borderId="88" xfId="9" applyFont="1" applyBorder="1" applyAlignment="1">
      <alignment vertical="top"/>
    </xf>
    <xf numFmtId="0" fontId="28" fillId="12" borderId="48" xfId="9" applyFont="1" applyFill="1" applyBorder="1" applyAlignment="1">
      <alignment vertical="top"/>
    </xf>
    <xf numFmtId="0" fontId="28" fillId="0" borderId="13" xfId="9" applyFont="1" applyBorder="1" applyAlignment="1">
      <alignment vertical="top"/>
    </xf>
    <xf numFmtId="0" fontId="28" fillId="0" borderId="14" xfId="9" applyFont="1" applyBorder="1" applyAlignment="1">
      <alignment vertical="top"/>
    </xf>
    <xf numFmtId="0" fontId="28" fillId="0" borderId="13" xfId="9" applyFont="1" applyBorder="1" applyAlignment="1">
      <alignment vertical="top" wrapText="1"/>
    </xf>
    <xf numFmtId="49" fontId="3" fillId="2" borderId="13" xfId="0" applyNumberFormat="1" applyFont="1" applyFill="1" applyBorder="1" applyAlignment="1">
      <alignment vertical="top"/>
    </xf>
    <xf numFmtId="49" fontId="3" fillId="2" borderId="14" xfId="0" applyNumberFormat="1" applyFont="1" applyFill="1" applyBorder="1" applyAlignment="1">
      <alignment vertical="top"/>
    </xf>
    <xf numFmtId="49" fontId="5" fillId="5" borderId="34" xfId="0" applyNumberFormat="1" applyFont="1" applyFill="1" applyBorder="1" applyAlignment="1">
      <alignment vertical="top" wrapText="1"/>
    </xf>
    <xf numFmtId="0" fontId="28" fillId="12" borderId="0" xfId="9" applyFont="1" applyFill="1" applyAlignment="1">
      <alignment vertical="top"/>
    </xf>
    <xf numFmtId="0" fontId="28" fillId="0" borderId="18" xfId="9" applyFont="1" applyBorder="1" applyAlignment="1">
      <alignment horizontal="center" vertical="center"/>
    </xf>
    <xf numFmtId="0" fontId="28" fillId="0" borderId="13" xfId="9" applyFont="1" applyBorder="1" applyAlignment="1">
      <alignment horizontal="center" vertical="center"/>
    </xf>
    <xf numFmtId="0" fontId="11" fillId="9" borderId="89" xfId="0" applyFont="1" applyFill="1" applyBorder="1" applyAlignment="1">
      <alignment vertical="top" wrapText="1"/>
    </xf>
    <xf numFmtId="166" fontId="9" fillId="0" borderId="31" xfId="6" applyNumberFormat="1" applyFont="1" applyBorder="1" applyAlignment="1">
      <alignment vertical="top"/>
    </xf>
    <xf numFmtId="0" fontId="9" fillId="0" borderId="90" xfId="6" applyFont="1" applyBorder="1" applyAlignment="1">
      <alignment vertical="top"/>
    </xf>
    <xf numFmtId="166" fontId="9" fillId="0" borderId="13" xfId="6" applyNumberFormat="1" applyFont="1" applyBorder="1" applyAlignment="1">
      <alignment vertical="top"/>
    </xf>
    <xf numFmtId="0" fontId="9" fillId="0" borderId="91" xfId="6" applyFont="1" applyBorder="1" applyAlignment="1">
      <alignment vertical="top"/>
    </xf>
    <xf numFmtId="166" fontId="9" fillId="0" borderId="15" xfId="6" applyNumberFormat="1" applyFont="1" applyBorder="1" applyAlignment="1">
      <alignment vertical="top"/>
    </xf>
    <xf numFmtId="0" fontId="9" fillId="8" borderId="5" xfId="6" applyFont="1" applyFill="1" applyBorder="1" applyAlignment="1">
      <alignment horizontal="center" vertical="top" wrapText="1"/>
    </xf>
    <xf numFmtId="0" fontId="24" fillId="0" borderId="0" xfId="2" applyFont="1" applyAlignment="1">
      <alignment vertical="top"/>
    </xf>
    <xf numFmtId="49" fontId="3" fillId="6" borderId="13" xfId="3" applyNumberFormat="1" applyFont="1" applyFill="1" applyBorder="1" applyAlignment="1">
      <alignment vertical="top" wrapText="1"/>
    </xf>
    <xf numFmtId="49" fontId="6" fillId="6" borderId="13" xfId="0" applyNumberFormat="1" applyFont="1" applyFill="1" applyBorder="1" applyAlignment="1">
      <alignment horizontal="center" vertical="top"/>
    </xf>
    <xf numFmtId="40" fontId="6" fillId="6" borderId="24" xfId="4" applyNumberFormat="1" applyFont="1" applyFill="1" applyBorder="1" applyAlignment="1">
      <alignment vertical="top"/>
    </xf>
    <xf numFmtId="40" fontId="6" fillId="6" borderId="13" xfId="4" applyNumberFormat="1" applyFont="1" applyFill="1" applyBorder="1" applyAlignment="1">
      <alignment vertical="top"/>
    </xf>
    <xf numFmtId="40" fontId="6" fillId="6" borderId="25" xfId="4" applyNumberFormat="1" applyFont="1" applyFill="1" applyBorder="1" applyAlignment="1">
      <alignment vertical="top"/>
    </xf>
    <xf numFmtId="40" fontId="6" fillId="0" borderId="93" xfId="4" applyNumberFormat="1" applyFont="1" applyBorder="1" applyAlignment="1">
      <alignment vertical="top" wrapText="1" shrinkToFit="1"/>
    </xf>
    <xf numFmtId="0" fontId="29" fillId="0" borderId="0" xfId="0" applyFont="1" applyAlignment="1">
      <alignment vertical="center"/>
    </xf>
    <xf numFmtId="0" fontId="9" fillId="0" borderId="24" xfId="6" applyFont="1" applyBorder="1" applyAlignment="1">
      <alignment horizontal="left" vertical="top"/>
    </xf>
    <xf numFmtId="49" fontId="3" fillId="0" borderId="18" xfId="3" applyNumberFormat="1" applyFont="1" applyBorder="1" applyAlignment="1">
      <alignment vertical="top" wrapText="1"/>
    </xf>
    <xf numFmtId="49" fontId="6" fillId="0" borderId="18" xfId="0" applyNumberFormat="1" applyFont="1" applyBorder="1" applyAlignment="1">
      <alignment horizontal="center" vertical="top"/>
    </xf>
    <xf numFmtId="49" fontId="6" fillId="0" borderId="18" xfId="0" applyNumberFormat="1" applyFont="1" applyBorder="1" applyAlignment="1">
      <alignment horizontal="left" vertical="top" wrapText="1"/>
    </xf>
    <xf numFmtId="0" fontId="3" fillId="7" borderId="94" xfId="0" applyFont="1" applyFill="1" applyBorder="1" applyAlignment="1">
      <alignment vertical="top"/>
    </xf>
    <xf numFmtId="49" fontId="3" fillId="7" borderId="72" xfId="0" applyNumberFormat="1" applyFont="1" applyFill="1" applyBorder="1" applyAlignment="1">
      <alignment vertical="top" wrapText="1"/>
    </xf>
    <xf numFmtId="49" fontId="3" fillId="7" borderId="72" xfId="0" applyNumberFormat="1" applyFont="1" applyFill="1" applyBorder="1" applyAlignment="1">
      <alignment vertical="top"/>
    </xf>
    <xf numFmtId="40" fontId="3" fillId="7" borderId="72" xfId="1" applyNumberFormat="1" applyFont="1" applyFill="1" applyBorder="1" applyAlignment="1">
      <alignment vertical="top"/>
    </xf>
    <xf numFmtId="49" fontId="3" fillId="7" borderId="95" xfId="0" applyNumberFormat="1" applyFont="1" applyFill="1" applyBorder="1" applyAlignment="1">
      <alignment vertical="top"/>
    </xf>
    <xf numFmtId="0" fontId="3" fillId="7" borderId="96" xfId="0" applyFont="1" applyFill="1" applyBorder="1" applyAlignment="1">
      <alignment vertical="top"/>
    </xf>
    <xf numFmtId="49" fontId="3" fillId="7" borderId="86" xfId="0" applyNumberFormat="1" applyFont="1" applyFill="1" applyBorder="1" applyAlignment="1">
      <alignment vertical="top" wrapText="1"/>
    </xf>
    <xf numFmtId="49" fontId="3" fillId="7" borderId="86" xfId="0" applyNumberFormat="1" applyFont="1" applyFill="1" applyBorder="1" applyAlignment="1">
      <alignment vertical="top"/>
    </xf>
    <xf numFmtId="40" fontId="3" fillId="7" borderId="86" xfId="1" applyNumberFormat="1" applyFont="1" applyFill="1" applyBorder="1" applyAlignment="1">
      <alignment vertical="top"/>
    </xf>
    <xf numFmtId="40" fontId="3" fillId="7" borderId="86" xfId="1" applyNumberFormat="1" applyFont="1" applyFill="1" applyBorder="1" applyAlignment="1">
      <alignment horizontal="right" vertical="top"/>
    </xf>
    <xf numFmtId="49" fontId="3" fillId="7" borderId="97" xfId="0" applyNumberFormat="1" applyFont="1" applyFill="1" applyBorder="1" applyAlignment="1">
      <alignment vertical="top" wrapText="1"/>
    </xf>
    <xf numFmtId="40" fontId="6" fillId="0" borderId="18" xfId="4" applyNumberFormat="1" applyFont="1" applyBorder="1" applyAlignment="1">
      <alignment vertical="top"/>
    </xf>
    <xf numFmtId="49" fontId="6" fillId="0" borderId="43" xfId="0" applyNumberFormat="1" applyFont="1" applyBorder="1" applyAlignment="1">
      <alignment horizontal="center" vertical="top"/>
    </xf>
    <xf numFmtId="40" fontId="6" fillId="0" borderId="39" xfId="4" applyNumberFormat="1" applyFont="1" applyBorder="1" applyAlignment="1">
      <alignment vertical="top" wrapText="1" shrinkToFit="1"/>
    </xf>
    <xf numFmtId="40" fontId="6" fillId="0" borderId="19" xfId="4" applyNumberFormat="1" applyFont="1" applyBorder="1" applyAlignment="1">
      <alignment vertical="top" wrapText="1" shrinkToFit="1"/>
    </xf>
    <xf numFmtId="49" fontId="6" fillId="0" borderId="31" xfId="0" applyNumberFormat="1" applyFont="1" applyBorder="1" applyAlignment="1">
      <alignment horizontal="center" vertical="top"/>
    </xf>
    <xf numFmtId="49" fontId="6" fillId="0" borderId="31" xfId="0" applyNumberFormat="1" applyFont="1" applyBorder="1" applyAlignment="1">
      <alignment horizontal="left" vertical="top" wrapText="1"/>
    </xf>
    <xf numFmtId="40" fontId="6" fillId="0" borderId="33" xfId="4" applyNumberFormat="1" applyFont="1" applyBorder="1" applyAlignment="1">
      <alignment vertical="top" wrapText="1" shrinkToFit="1"/>
    </xf>
    <xf numFmtId="40" fontId="6" fillId="0" borderId="25" xfId="4" applyNumberFormat="1" applyFont="1" applyBorder="1" applyAlignment="1">
      <alignment vertical="top" wrapText="1" shrinkToFit="1"/>
    </xf>
    <xf numFmtId="166" fontId="0" fillId="0" borderId="0" xfId="0" applyNumberFormat="1" applyAlignment="1">
      <alignment vertical="center"/>
    </xf>
    <xf numFmtId="2" fontId="3" fillId="0" borderId="0" xfId="0" applyNumberFormat="1" applyFont="1" applyAlignment="1">
      <alignment vertical="top"/>
    </xf>
    <xf numFmtId="49" fontId="24" fillId="0" borderId="0" xfId="0" applyNumberFormat="1" applyFont="1" applyAlignment="1">
      <alignment vertical="top"/>
    </xf>
    <xf numFmtId="49" fontId="6" fillId="0" borderId="18" xfId="3" applyNumberFormat="1" applyFont="1" applyBorder="1" applyAlignment="1">
      <alignment vertical="top" wrapText="1"/>
    </xf>
    <xf numFmtId="0" fontId="32" fillId="0" borderId="0" xfId="0" applyFont="1" applyAlignment="1">
      <alignment vertical="center"/>
    </xf>
    <xf numFmtId="0" fontId="34" fillId="0" borderId="0" xfId="0" applyFont="1" applyAlignment="1">
      <alignment vertical="center"/>
    </xf>
    <xf numFmtId="0" fontId="32" fillId="0" borderId="0" xfId="0" applyFont="1" applyAlignment="1">
      <alignment horizontal="right" vertical="center"/>
    </xf>
    <xf numFmtId="2" fontId="24" fillId="0" borderId="0" xfId="0" applyNumberFormat="1" applyFont="1" applyAlignment="1">
      <alignment vertical="top"/>
    </xf>
    <xf numFmtId="0" fontId="0" fillId="0" borderId="0" xfId="0" applyAlignment="1">
      <alignment vertical="center"/>
    </xf>
    <xf numFmtId="0" fontId="0" fillId="0" borderId="31" xfId="0" applyBorder="1" applyAlignment="1"/>
    <xf numFmtId="40" fontId="6" fillId="0" borderId="18" xfId="4" applyNumberFormat="1" applyFont="1" applyBorder="1" applyAlignment="1">
      <alignment horizontal="right" vertical="top"/>
    </xf>
    <xf numFmtId="40" fontId="6" fillId="0" borderId="31" xfId="4" applyNumberFormat="1" applyFont="1" applyBorder="1" applyAlignment="1">
      <alignment horizontal="right" vertical="top"/>
    </xf>
    <xf numFmtId="40" fontId="6" fillId="0" borderId="33" xfId="4" applyNumberFormat="1" applyFont="1" applyBorder="1" applyAlignment="1">
      <alignment horizontal="right" vertical="top"/>
    </xf>
    <xf numFmtId="40" fontId="6" fillId="0" borderId="29" xfId="4" applyNumberFormat="1" applyFont="1" applyBorder="1" applyAlignment="1">
      <alignment horizontal="right" vertical="top"/>
    </xf>
    <xf numFmtId="49" fontId="6" fillId="0" borderId="13" xfId="0" applyNumberFormat="1" applyFont="1" applyBorder="1" applyAlignment="1">
      <alignment horizontal="center" vertical="top"/>
    </xf>
    <xf numFmtId="49" fontId="6" fillId="0" borderId="13" xfId="0" applyNumberFormat="1" applyFont="1" applyBorder="1" applyAlignment="1">
      <alignment horizontal="left" vertical="top" wrapText="1"/>
    </xf>
    <xf numFmtId="0" fontId="0" fillId="0" borderId="19" xfId="0" applyBorder="1" applyAlignment="1">
      <alignment horizontal="left" vertical="center"/>
    </xf>
    <xf numFmtId="0" fontId="0" fillId="0" borderId="73" xfId="0" applyBorder="1" applyAlignment="1">
      <alignment vertical="center"/>
    </xf>
    <xf numFmtId="0" fontId="0" fillId="0" borderId="28" xfId="0" applyBorder="1" applyAlignment="1">
      <alignment vertical="center"/>
    </xf>
    <xf numFmtId="0" fontId="0" fillId="0" borderId="50" xfId="0" applyBorder="1" applyAlignment="1">
      <alignment vertical="center"/>
    </xf>
    <xf numFmtId="0" fontId="0" fillId="0" borderId="20" xfId="0" applyBorder="1" applyAlignment="1">
      <alignment vertical="center"/>
    </xf>
    <xf numFmtId="0" fontId="0" fillId="0" borderId="22" xfId="0" applyBorder="1" applyAlignment="1">
      <alignment vertical="center"/>
    </xf>
    <xf numFmtId="0" fontId="0" fillId="0" borderId="36" xfId="0" applyBorder="1" applyAlignment="1">
      <alignment vertical="center"/>
    </xf>
    <xf numFmtId="0" fontId="0" fillId="10" borderId="20" xfId="0" applyFill="1" applyBorder="1" applyAlignment="1">
      <alignment vertical="center"/>
    </xf>
    <xf numFmtId="0" fontId="0" fillId="10" borderId="22" xfId="0" applyFill="1" applyBorder="1" applyAlignment="1">
      <alignment vertical="center"/>
    </xf>
    <xf numFmtId="0" fontId="0" fillId="10" borderId="36" xfId="0" applyFill="1" applyBorder="1" applyAlignment="1">
      <alignment vertical="center"/>
    </xf>
    <xf numFmtId="0" fontId="0" fillId="0" borderId="0" xfId="0" applyAlignment="1"/>
    <xf numFmtId="165" fontId="9" fillId="0" borderId="15" xfId="7" applyNumberFormat="1" applyFont="1" applyBorder="1" applyAlignment="1">
      <alignment vertical="top"/>
    </xf>
    <xf numFmtId="165" fontId="9" fillId="0" borderId="28" xfId="7" applyNumberFormat="1" applyFont="1" applyBorder="1" applyAlignment="1">
      <alignment vertical="top"/>
    </xf>
    <xf numFmtId="167" fontId="9" fillId="0" borderId="28" xfId="7" applyNumberFormat="1" applyFont="1" applyBorder="1" applyAlignment="1">
      <alignment vertical="top"/>
    </xf>
    <xf numFmtId="167" fontId="9" fillId="0" borderId="26" xfId="6" applyNumberFormat="1" applyFont="1" applyBorder="1" applyAlignment="1">
      <alignment vertical="top"/>
    </xf>
    <xf numFmtId="165" fontId="9" fillId="0" borderId="13" xfId="7" applyNumberFormat="1" applyFont="1" applyBorder="1" applyAlignment="1">
      <alignment vertical="top"/>
    </xf>
    <xf numFmtId="165" fontId="10" fillId="0" borderId="5" xfId="6" applyNumberFormat="1" applyFont="1" applyBorder="1" applyAlignment="1">
      <alignment vertical="top"/>
    </xf>
    <xf numFmtId="165" fontId="10" fillId="0" borderId="6" xfId="6" applyNumberFormat="1" applyFont="1" applyBorder="1" applyAlignment="1">
      <alignment vertical="top"/>
    </xf>
    <xf numFmtId="164" fontId="3" fillId="0" borderId="0" xfId="2" applyNumberFormat="1" applyFont="1" applyAlignment="1">
      <alignment vertical="top"/>
    </xf>
    <xf numFmtId="0" fontId="27" fillId="0" borderId="18" xfId="0" applyFont="1" applyBorder="1" applyAlignment="1">
      <alignment horizontal="left" vertical="center" wrapText="1"/>
    </xf>
    <xf numFmtId="0" fontId="0" fillId="0" borderId="15" xfId="0" applyBorder="1" applyAlignment="1"/>
    <xf numFmtId="0" fontId="11" fillId="0" borderId="18" xfId="0" applyFont="1" applyBorder="1" applyAlignment="1">
      <alignment horizontal="left" vertical="center"/>
    </xf>
    <xf numFmtId="0" fontId="11" fillId="8" borderId="20" xfId="0" applyFont="1" applyFill="1" applyBorder="1" applyAlignment="1">
      <alignment horizontal="left" vertical="center" wrapText="1"/>
    </xf>
    <xf numFmtId="0" fontId="0" fillId="0" borderId="28" xfId="0" applyBorder="1" applyAlignment="1"/>
    <xf numFmtId="0" fontId="4" fillId="3" borderId="20" xfId="0" applyFont="1" applyFill="1" applyBorder="1" applyAlignment="1">
      <alignment horizontal="left" vertical="top"/>
    </xf>
    <xf numFmtId="0" fontId="0" fillId="0" borderId="22" xfId="0" applyBorder="1" applyAlignment="1"/>
    <xf numFmtId="0" fontId="33" fillId="3" borderId="41" xfId="0" applyFont="1" applyFill="1" applyBorder="1" applyAlignment="1">
      <alignment horizontal="left" vertical="center"/>
    </xf>
    <xf numFmtId="0" fontId="0" fillId="0" borderId="2" xfId="0" applyBorder="1" applyAlignment="1"/>
    <xf numFmtId="0" fontId="0" fillId="0" borderId="3" xfId="0" applyBorder="1" applyAlignment="1"/>
    <xf numFmtId="0" fontId="16" fillId="3" borderId="41" xfId="0" applyFont="1" applyFill="1" applyBorder="1" applyAlignment="1">
      <alignment horizontal="left" vertical="center"/>
    </xf>
    <xf numFmtId="0" fontId="4" fillId="3" borderId="41" xfId="0" applyFont="1" applyFill="1" applyBorder="1" applyAlignment="1">
      <alignment horizontal="left" vertical="top"/>
    </xf>
    <xf numFmtId="0" fontId="5" fillId="5" borderId="43" xfId="2" applyFont="1" applyFill="1" applyBorder="1" applyAlignment="1">
      <alignment horizontal="center" vertical="top" wrapText="1"/>
    </xf>
    <xf numFmtId="0" fontId="0" fillId="0" borderId="14" xfId="0" applyBorder="1" applyAlignment="1"/>
    <xf numFmtId="49" fontId="5" fillId="5" borderId="42" xfId="0" applyNumberFormat="1" applyFont="1" applyFill="1" applyBorder="1" applyAlignment="1">
      <alignment horizontal="center" vertical="top"/>
    </xf>
    <xf numFmtId="0" fontId="0" fillId="0" borderId="65" xfId="0" applyBorder="1" applyAlignment="1"/>
    <xf numFmtId="0" fontId="0" fillId="0" borderId="12" xfId="0" applyBorder="1" applyAlignment="1"/>
    <xf numFmtId="40" fontId="6" fillId="0" borderId="31" xfId="4" applyNumberFormat="1" applyFont="1" applyBorder="1" applyAlignment="1">
      <alignment horizontal="center" vertical="top"/>
    </xf>
    <xf numFmtId="0" fontId="0" fillId="0" borderId="38" xfId="0" applyBorder="1" applyAlignment="1"/>
    <xf numFmtId="40" fontId="6" fillId="0" borderId="98" xfId="4" applyNumberFormat="1" applyFont="1" applyBorder="1" applyAlignment="1">
      <alignment horizontal="right" vertical="top"/>
    </xf>
    <xf numFmtId="0" fontId="0" fillId="0" borderId="85" xfId="0" applyBorder="1" applyAlignment="1"/>
    <xf numFmtId="0" fontId="0" fillId="0" borderId="45" xfId="0" applyBorder="1" applyAlignment="1"/>
    <xf numFmtId="40" fontId="5" fillId="0" borderId="42" xfId="1" applyNumberFormat="1" applyFont="1" applyBorder="1" applyAlignment="1">
      <alignment horizontal="left" vertical="top"/>
    </xf>
    <xf numFmtId="0" fontId="0" fillId="0" borderId="84" xfId="0" applyBorder="1" applyAlignment="1"/>
    <xf numFmtId="0" fontId="0" fillId="0" borderId="52" xfId="0" applyBorder="1" applyAlignment="1"/>
    <xf numFmtId="0" fontId="5" fillId="5" borderId="8" xfId="2" applyFont="1" applyFill="1" applyBorder="1" applyAlignment="1">
      <alignment horizontal="left" vertical="top"/>
    </xf>
    <xf numFmtId="0" fontId="0" fillId="0" borderId="72" xfId="0" applyBorder="1" applyAlignment="1"/>
    <xf numFmtId="0" fontId="0" fillId="0" borderId="51" xfId="0" applyBorder="1" applyAlignment="1"/>
    <xf numFmtId="0" fontId="5" fillId="5" borderId="31" xfId="2" applyFont="1" applyFill="1" applyBorder="1" applyAlignment="1">
      <alignment horizontal="center" vertical="top" wrapText="1"/>
    </xf>
    <xf numFmtId="0" fontId="0" fillId="0" borderId="49" xfId="0" applyBorder="1" applyAlignment="1"/>
    <xf numFmtId="49" fontId="5" fillId="5" borderId="31" xfId="0" applyNumberFormat="1" applyFont="1" applyFill="1" applyBorder="1" applyAlignment="1">
      <alignment horizontal="left" vertical="top" wrapText="1"/>
    </xf>
    <xf numFmtId="0" fontId="5" fillId="5" borderId="43" xfId="2" applyFont="1" applyFill="1" applyBorder="1" applyAlignment="1">
      <alignment horizontal="left" vertical="top"/>
    </xf>
    <xf numFmtId="0" fontId="0" fillId="0" borderId="73" xfId="0" applyBorder="1" applyAlignment="1"/>
    <xf numFmtId="0" fontId="0" fillId="0" borderId="50" xfId="0" applyBorder="1" applyAlignment="1"/>
    <xf numFmtId="0" fontId="19" fillId="5" borderId="15" xfId="8" applyFont="1" applyFill="1" applyBorder="1" applyAlignment="1">
      <alignment horizontal="left" vertical="top"/>
    </xf>
    <xf numFmtId="40" fontId="6" fillId="0" borderId="33" xfId="4" applyNumberFormat="1" applyFont="1" applyBorder="1" applyAlignment="1">
      <alignment horizontal="right" vertical="top"/>
    </xf>
    <xf numFmtId="0" fontId="0" fillId="0" borderId="16" xfId="0" applyBorder="1" applyAlignment="1"/>
    <xf numFmtId="0" fontId="0" fillId="0" borderId="46" xfId="0" applyBorder="1" applyAlignment="1"/>
    <xf numFmtId="40" fontId="6" fillId="0" borderId="18" xfId="4" applyNumberFormat="1" applyFont="1" applyBorder="1" applyAlignment="1">
      <alignment horizontal="right" vertical="top"/>
    </xf>
    <xf numFmtId="40" fontId="6" fillId="0" borderId="48" xfId="4" applyNumberFormat="1" applyFont="1" applyBorder="1" applyAlignment="1">
      <alignment horizontal="right" vertical="top"/>
    </xf>
    <xf numFmtId="0" fontId="0" fillId="0" borderId="23" xfId="0" applyBorder="1" applyAlignment="1"/>
    <xf numFmtId="49" fontId="5" fillId="5" borderId="43" xfId="0" applyNumberFormat="1" applyFont="1" applyFill="1" applyBorder="1" applyAlignment="1">
      <alignment horizontal="center" vertical="top"/>
    </xf>
    <xf numFmtId="40" fontId="6" fillId="0" borderId="99" xfId="4" applyNumberFormat="1" applyFont="1" applyBorder="1" applyAlignment="1">
      <alignment horizontal="right" vertical="top"/>
    </xf>
    <xf numFmtId="0" fontId="0" fillId="0" borderId="11" xfId="0" applyBorder="1" applyAlignment="1"/>
    <xf numFmtId="40" fontId="5" fillId="0" borderId="17" xfId="1" applyNumberFormat="1" applyFont="1" applyBorder="1" applyAlignment="1">
      <alignment horizontal="left" vertical="top"/>
    </xf>
    <xf numFmtId="0" fontId="0" fillId="0" borderId="36" xfId="0" applyBorder="1" applyAlignment="1"/>
    <xf numFmtId="40" fontId="6" fillId="0" borderId="41" xfId="4" applyNumberFormat="1" applyFont="1" applyBorder="1" applyAlignment="1">
      <alignment horizontal="right" vertical="top"/>
    </xf>
    <xf numFmtId="49" fontId="6" fillId="0" borderId="31" xfId="0" applyNumberFormat="1" applyFont="1" applyBorder="1" applyAlignment="1">
      <alignment horizontal="left" vertical="top" wrapText="1"/>
    </xf>
    <xf numFmtId="40" fontId="6" fillId="0" borderId="29" xfId="4" applyNumberFormat="1" applyFont="1" applyBorder="1" applyAlignment="1">
      <alignment horizontal="right" vertical="top"/>
    </xf>
    <xf numFmtId="0" fontId="0" fillId="0" borderId="37" xfId="0" applyBorder="1" applyAlignment="1"/>
    <xf numFmtId="40" fontId="5" fillId="0" borderId="29" xfId="1" applyNumberFormat="1" applyFont="1" applyBorder="1" applyAlignment="1">
      <alignment horizontal="left" vertical="top"/>
    </xf>
    <xf numFmtId="40" fontId="3" fillId="3" borderId="4" xfId="1" applyNumberFormat="1" applyFont="1" applyFill="1" applyBorder="1" applyAlignment="1">
      <alignment horizontal="right" vertical="top"/>
    </xf>
    <xf numFmtId="0" fontId="0" fillId="0" borderId="35" xfId="0" applyBorder="1" applyAlignment="1"/>
    <xf numFmtId="0" fontId="5" fillId="5" borderId="4" xfId="2" applyFont="1" applyFill="1" applyBorder="1" applyAlignment="1">
      <alignment horizontal="center" vertical="top"/>
    </xf>
    <xf numFmtId="0" fontId="5" fillId="5" borderId="39" xfId="2" applyFont="1" applyFill="1" applyBorder="1" applyAlignment="1">
      <alignment horizontal="center" vertical="top"/>
    </xf>
    <xf numFmtId="0" fontId="0" fillId="0" borderId="26" xfId="0" applyBorder="1" applyAlignment="1"/>
    <xf numFmtId="49" fontId="5" fillId="5" borderId="43" xfId="0" applyNumberFormat="1" applyFont="1" applyFill="1" applyBorder="1" applyAlignment="1">
      <alignment horizontal="left" vertical="top"/>
    </xf>
    <xf numFmtId="49" fontId="6" fillId="0" borderId="31" xfId="0" applyNumberFormat="1" applyFont="1" applyBorder="1" applyAlignment="1">
      <alignment horizontal="center" vertical="top"/>
    </xf>
    <xf numFmtId="49" fontId="6" fillId="0" borderId="33" xfId="0" applyNumberFormat="1" applyFont="1" applyBorder="1" applyAlignment="1">
      <alignment horizontal="left" vertical="top" wrapText="1"/>
    </xf>
    <xf numFmtId="40" fontId="5" fillId="4" borderId="29" xfId="1" applyNumberFormat="1" applyFont="1" applyFill="1" applyBorder="1" applyAlignment="1">
      <alignment horizontal="left" vertical="top"/>
    </xf>
    <xf numFmtId="40" fontId="6" fillId="0" borderId="19" xfId="4" applyNumberFormat="1" applyFont="1" applyBorder="1" applyAlignment="1">
      <alignment horizontal="right" vertical="top"/>
    </xf>
    <xf numFmtId="40" fontId="6" fillId="0" borderId="17" xfId="4" applyNumberFormat="1" applyFont="1" applyBorder="1" applyAlignment="1">
      <alignment horizontal="right" vertical="top"/>
    </xf>
    <xf numFmtId="40" fontId="6" fillId="0" borderId="29" xfId="4" applyNumberFormat="1" applyFont="1" applyBorder="1" applyAlignment="1">
      <alignment horizontal="center" vertical="top"/>
    </xf>
    <xf numFmtId="40" fontId="5" fillId="4" borderId="42" xfId="1" applyNumberFormat="1" applyFont="1" applyFill="1" applyBorder="1" applyAlignment="1">
      <alignment horizontal="left" vertical="top"/>
    </xf>
    <xf numFmtId="40" fontId="6" fillId="0" borderId="100" xfId="4" applyNumberFormat="1" applyFont="1" applyBorder="1" applyAlignment="1">
      <alignment horizontal="right" vertical="top"/>
    </xf>
    <xf numFmtId="0" fontId="0" fillId="0" borderId="92" xfId="0" applyBorder="1" applyAlignment="1"/>
    <xf numFmtId="0" fontId="0" fillId="0" borderId="93" xfId="0" applyBorder="1" applyAlignment="1"/>
    <xf numFmtId="40" fontId="6" fillId="0" borderId="31" xfId="4" applyNumberFormat="1" applyFont="1" applyBorder="1" applyAlignment="1">
      <alignment horizontal="right" vertical="top"/>
    </xf>
    <xf numFmtId="0" fontId="22" fillId="5" borderId="15" xfId="8" applyFill="1" applyBorder="1" applyAlignment="1">
      <alignment horizontal="left" vertical="top"/>
    </xf>
    <xf numFmtId="0" fontId="0" fillId="0" borderId="77" xfId="0" applyBorder="1" applyAlignment="1">
      <alignment horizontal="center" vertical="center"/>
    </xf>
    <xf numFmtId="0" fontId="0" fillId="0" borderId="87" xfId="0" applyBorder="1" applyAlignment="1"/>
    <xf numFmtId="49" fontId="3" fillId="2" borderId="13" xfId="0" applyNumberFormat="1" applyFont="1" applyFill="1" applyBorder="1" applyAlignment="1">
      <alignment horizontal="left" vertical="top"/>
    </xf>
    <xf numFmtId="0" fontId="28" fillId="0" borderId="13" xfId="9" applyFont="1" applyBorder="1" applyAlignment="1">
      <alignment horizontal="left" vertical="top"/>
    </xf>
    <xf numFmtId="49" fontId="3" fillId="2" borderId="18" xfId="0" applyNumberFormat="1" applyFont="1" applyFill="1" applyBorder="1" applyAlignment="1">
      <alignment horizontal="left" vertical="top"/>
    </xf>
    <xf numFmtId="49" fontId="3" fillId="2" borderId="14" xfId="0" applyNumberFormat="1" applyFont="1" applyFill="1" applyBorder="1" applyAlignment="1">
      <alignment horizontal="left" vertical="top"/>
    </xf>
    <xf numFmtId="0" fontId="18" fillId="11" borderId="4" xfId="0" applyFont="1" applyFill="1" applyBorder="1" applyAlignment="1">
      <alignment horizontal="center" vertical="center"/>
    </xf>
    <xf numFmtId="0" fontId="0" fillId="0" borderId="98" xfId="0" applyBorder="1" applyAlignment="1">
      <alignment horizontal="left" vertical="center"/>
    </xf>
    <xf numFmtId="0" fontId="11" fillId="11" borderId="41" xfId="0" applyFont="1" applyFill="1" applyBorder="1" applyAlignment="1">
      <alignment horizontal="center" vertical="center"/>
    </xf>
    <xf numFmtId="0" fontId="0" fillId="0" borderId="17" xfId="0" applyBorder="1" applyAlignment="1">
      <alignment horizontal="left" vertical="center"/>
    </xf>
    <xf numFmtId="0" fontId="18" fillId="11" borderId="41" xfId="0" applyFont="1" applyFill="1" applyBorder="1" applyAlignment="1">
      <alignment horizontal="center" vertical="center"/>
    </xf>
    <xf numFmtId="0" fontId="0" fillId="0" borderId="47" xfId="0" applyBorder="1" applyAlignment="1"/>
    <xf numFmtId="0" fontId="18" fillId="11" borderId="34" xfId="0" applyFont="1" applyFill="1" applyBorder="1" applyAlignment="1">
      <alignment horizontal="center" vertical="center"/>
    </xf>
  </cellXfs>
  <cellStyles count="15">
    <cellStyle name="Comma [0]" xfId="1" builtinId="6"/>
    <cellStyle name="Hyperlink" xfId="8" builtinId="8"/>
    <cellStyle name="Hyperlink 2" xfId="14"/>
    <cellStyle name="Normal" xfId="0" builtinId="0"/>
    <cellStyle name="Normal 2" xfId="11"/>
    <cellStyle name="Normal 2 2" xfId="13"/>
    <cellStyle name="Normal 3" xfId="12"/>
    <cellStyle name="桁区切り 2 2" xfId="4"/>
    <cellStyle name="標準 3" xfId="10"/>
    <cellStyle name="標準 4" xfId="3"/>
    <cellStyle name="標準_【HCN】生産刷新（LSX・FDS）波及改定対応（影響調査）内部用_【見積】HXN ２０１３年度Ａパート改定 開発" xfId="9"/>
    <cellStyle name="標準_LS自社工場、委託工場でリードタイムが異なる件対応" xfId="5"/>
    <cellStyle name="標準_LS自社工場、委託工場でリードタイムが異なる件対応_【見積】HXN 個別原料規格（工場用）改定_20130614" xfId="2"/>
    <cellStyle name="標準_SF自販機営業革新(080715)" xfId="7"/>
    <cellStyle name="標準_SF自販機営業革新(080715)_【見積】SCM需給調達システム機能追加（システム改善　定常業務自動化）"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6</xdr:col>
      <xdr:colOff>235207</xdr:colOff>
      <xdr:row>7</xdr:row>
      <xdr:rowOff>116747</xdr:rowOff>
    </xdr:from>
    <xdr:to>
      <xdr:col>6</xdr:col>
      <xdr:colOff>564420</xdr:colOff>
      <xdr:row>9</xdr:row>
      <xdr:rowOff>118302</xdr:rowOff>
    </xdr:to>
    <xdr:pic>
      <xdr:nvPicPr>
        <xdr:cNvPr id="7" name="図 56"/>
        <xdr:cNvPicPr>
          <a:picLocks noChangeAspect="1"/>
        </xdr:cNvPicPr>
      </xdr:nvPicPr>
      <xdr:blipFill>
        <a:blip xmlns:r="http://schemas.openxmlformats.org/officeDocument/2006/relationships" r:embed="rId1"/>
        <a:stretch>
          <a:fillRect/>
        </a:stretch>
      </xdr:blipFill>
      <xdr:spPr>
        <a:xfrm>
          <a:off x="8289547" y="1442627"/>
          <a:ext cx="329213" cy="359695"/>
        </a:xfrm>
        <a:prstGeom prst="rect">
          <a:avLst/>
        </a:prstGeom>
        <a:ln>
          <a:prstDash val="solid"/>
        </a:ln>
      </xdr:spPr>
    </xdr:pic>
    <xdr:clientData/>
  </xdr:twoCellAnchor>
  <xdr:twoCellAnchor editAs="oneCell">
    <xdr:from>
      <xdr:col>7</xdr:col>
      <xdr:colOff>466672</xdr:colOff>
      <xdr:row>10</xdr:row>
      <xdr:rowOff>32532</xdr:rowOff>
    </xdr:from>
    <xdr:to>
      <xdr:col>8</xdr:col>
      <xdr:colOff>571447</xdr:colOff>
      <xdr:row>14</xdr:row>
      <xdr:rowOff>33892</xdr:rowOff>
    </xdr:to>
    <xdr:pic>
      <xdr:nvPicPr>
        <xdr:cNvPr id="9" name="Picture 8" descr="PC使う人"/>
        <xdr:cNvPicPr>
          <a:picLocks noChangeAspect="1" noChangeArrowheads="1"/>
        </xdr:cNvPicPr>
      </xdr:nvPicPr>
      <xdr:blipFill>
        <a:blip xmlns:r="http://schemas.openxmlformats.org/officeDocument/2006/relationships" r:embed="rId2" cstate="print"/>
        <a:srcRect/>
        <a:stretch>
          <a:fillRect/>
        </a:stretch>
      </xdr:blipFill>
      <xdr:spPr bwMode="auto">
        <a:xfrm>
          <a:off x="9130612" y="1792752"/>
          <a:ext cx="714375" cy="714375"/>
        </a:xfrm>
        <a:prstGeom prst="rect">
          <a:avLst/>
        </a:prstGeom>
        <a:noFill/>
        <a:ln>
          <a:noFill/>
          <a:prstDash val="solid"/>
        </a:ln>
      </xdr:spPr>
    </xdr:pic>
    <xdr:clientData/>
  </xdr:twoCellAnchor>
  <xdr:twoCellAnchor editAs="oneCell">
    <xdr:from>
      <xdr:col>3</xdr:col>
      <xdr:colOff>3450783</xdr:colOff>
      <xdr:row>25</xdr:row>
      <xdr:rowOff>21771</xdr:rowOff>
    </xdr:from>
    <xdr:to>
      <xdr:col>3</xdr:col>
      <xdr:colOff>3918868</xdr:colOff>
      <xdr:row>28</xdr:row>
      <xdr:rowOff>56501</xdr:rowOff>
    </xdr:to>
    <xdr:pic>
      <xdr:nvPicPr>
        <xdr:cNvPr id="48" name="Picture 47"/>
        <xdr:cNvPicPr>
          <a:picLocks noChangeAspect="1"/>
        </xdr:cNvPicPr>
      </xdr:nvPicPr>
      <xdr:blipFill>
        <a:blip xmlns:r="http://schemas.openxmlformats.org/officeDocument/2006/relationships" r:embed="rId3" cstate="print"/>
        <a:stretch>
          <a:fillRect/>
        </a:stretch>
      </xdr:blipFill>
      <xdr:spPr>
        <a:xfrm>
          <a:off x="5279583" y="4974771"/>
          <a:ext cx="468085" cy="622559"/>
        </a:xfrm>
        <a:prstGeom prst="rect">
          <a:avLst/>
        </a:prstGeom>
        <a:ln>
          <a:prstDash val="solid"/>
        </a:ln>
      </xdr:spPr>
    </xdr:pic>
    <xdr:clientData/>
  </xdr:twoCellAnchor>
  <xdr:twoCellAnchor editAs="oneCell">
    <xdr:from>
      <xdr:col>17</xdr:col>
      <xdr:colOff>32657</xdr:colOff>
      <xdr:row>35</xdr:row>
      <xdr:rowOff>32657</xdr:rowOff>
    </xdr:from>
    <xdr:to>
      <xdr:col>17</xdr:col>
      <xdr:colOff>500742</xdr:colOff>
      <xdr:row>38</xdr:row>
      <xdr:rowOff>67388</xdr:rowOff>
    </xdr:to>
    <xdr:pic>
      <xdr:nvPicPr>
        <xdr:cNvPr id="49" name="Picture 48"/>
        <xdr:cNvPicPr>
          <a:picLocks noChangeAspect="1"/>
        </xdr:cNvPicPr>
      </xdr:nvPicPr>
      <xdr:blipFill>
        <a:blip xmlns:r="http://schemas.openxmlformats.org/officeDocument/2006/relationships" r:embed="rId3" cstate="print"/>
        <a:stretch>
          <a:fillRect/>
        </a:stretch>
      </xdr:blipFill>
      <xdr:spPr>
        <a:xfrm>
          <a:off x="14793686" y="3973286"/>
          <a:ext cx="468085" cy="55724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63474</xdr:colOff>
      <xdr:row>17</xdr:row>
      <xdr:rowOff>86128</xdr:rowOff>
    </xdr:from>
    <xdr:to>
      <xdr:col>16</xdr:col>
      <xdr:colOff>91441</xdr:colOff>
      <xdr:row>21</xdr:row>
      <xdr:rowOff>37614</xdr:rowOff>
    </xdr:to>
    <xdr:pic>
      <xdr:nvPicPr>
        <xdr:cNvPr id="23" name="Graphic 40"/>
        <xdr:cNvPicPr>
          <a:picLocks noChangeAspect="1"/>
        </xdr:cNvPicPr>
      </xdr:nvPicPr>
      <xdr:blipFill>
        <a:blip xmlns:r="http://schemas.openxmlformats.org/officeDocument/2006/relationships" r:embed="rId1"/>
        <a:stretch>
          <a:fillRect/>
        </a:stretch>
      </xdr:blipFill>
      <xdr:spPr>
        <a:xfrm>
          <a:off x="11642064" y="3983758"/>
          <a:ext cx="635661" cy="635381"/>
        </a:xfrm>
        <a:prstGeom prst="rect">
          <a:avLst/>
        </a:prstGeom>
        <a:ln>
          <a:prstDash val="solid"/>
        </a:ln>
      </xdr:spPr>
    </xdr:pic>
    <xdr:clientData/>
  </xdr:twoCellAnchor>
  <xdr:twoCellAnchor editAs="oneCell">
    <xdr:from>
      <xdr:col>14</xdr:col>
      <xdr:colOff>343938</xdr:colOff>
      <xdr:row>17</xdr:row>
      <xdr:rowOff>51395</xdr:rowOff>
    </xdr:from>
    <xdr:to>
      <xdr:col>15</xdr:col>
      <xdr:colOff>57296</xdr:colOff>
      <xdr:row>20</xdr:row>
      <xdr:rowOff>20279</xdr:rowOff>
    </xdr:to>
    <xdr:pic>
      <xdr:nvPicPr>
        <xdr:cNvPr id="27" name="Graphic 38"/>
        <xdr:cNvPicPr>
          <a:picLocks noChangeAspect="1"/>
        </xdr:cNvPicPr>
      </xdr:nvPicPr>
      <xdr:blipFill>
        <a:blip xmlns:r="http://schemas.openxmlformats.org/officeDocument/2006/relationships" r:embed="rId2"/>
        <a:stretch>
          <a:fillRect/>
        </a:stretch>
      </xdr:blipFill>
      <xdr:spPr>
        <a:xfrm>
          <a:off x="11316738" y="3950930"/>
          <a:ext cx="311529" cy="467995"/>
        </a:xfrm>
        <a:prstGeom prst="rect">
          <a:avLst/>
        </a:prstGeom>
        <a:ln>
          <a:prstDash val="solid"/>
        </a:ln>
      </xdr:spPr>
    </xdr:pic>
    <xdr:clientData/>
  </xdr:twoCellAnchor>
  <xdr:twoCellAnchor editAs="oneCell">
    <xdr:from>
      <xdr:col>7</xdr:col>
      <xdr:colOff>600121</xdr:colOff>
      <xdr:row>16</xdr:row>
      <xdr:rowOff>114133</xdr:rowOff>
    </xdr:from>
    <xdr:to>
      <xdr:col>8</xdr:col>
      <xdr:colOff>287312</xdr:colOff>
      <xdr:row>18</xdr:row>
      <xdr:rowOff>135259</xdr:rowOff>
    </xdr:to>
    <xdr:pic>
      <xdr:nvPicPr>
        <xdr:cNvPr id="66" name="Graphic 5"/>
        <xdr:cNvPicPr>
          <a:picLocks noChangeAspect="1" noChangeArrowheads="1"/>
        </xdr:cNvPicPr>
      </xdr:nvPicPr>
      <xdr:blipFill>
        <a:blip xmlns:r="http://schemas.openxmlformats.org/officeDocument/2006/relationships" r:embed="rId3" cstate="print"/>
        <a:srcRect/>
        <a:stretch>
          <a:fillRect/>
        </a:stretch>
      </xdr:blipFill>
      <xdr:spPr bwMode="auto">
        <a:xfrm>
          <a:off x="4865416" y="3838408"/>
          <a:ext cx="287266" cy="364026"/>
        </a:xfrm>
        <a:prstGeom prst="rect">
          <a:avLst/>
        </a:prstGeom>
        <a:noFill/>
        <a:ln>
          <a:noFill/>
          <a:prstDash val="solid"/>
        </a:ln>
      </xdr:spPr>
    </xdr:pic>
    <xdr:clientData/>
  </xdr:twoCellAnchor>
  <xdr:twoCellAnchor editAs="oneCell">
    <xdr:from>
      <xdr:col>5</xdr:col>
      <xdr:colOff>573339</xdr:colOff>
      <xdr:row>16</xdr:row>
      <xdr:rowOff>58327</xdr:rowOff>
    </xdr:from>
    <xdr:to>
      <xdr:col>6</xdr:col>
      <xdr:colOff>247195</xdr:colOff>
      <xdr:row>18</xdr:row>
      <xdr:rowOff>60404</xdr:rowOff>
    </xdr:to>
    <xdr:pic>
      <xdr:nvPicPr>
        <xdr:cNvPr id="68" name="Graphic 5"/>
        <xdr:cNvPicPr>
          <a:picLocks noChangeAspect="1" noChangeArrowheads="1"/>
        </xdr:cNvPicPr>
      </xdr:nvPicPr>
      <xdr:blipFill>
        <a:blip xmlns:r="http://schemas.openxmlformats.org/officeDocument/2006/relationships" r:embed="rId4" cstate="print"/>
        <a:srcRect/>
        <a:stretch>
          <a:fillRect/>
        </a:stretch>
      </xdr:blipFill>
      <xdr:spPr bwMode="auto">
        <a:xfrm>
          <a:off x="3598927" y="3722651"/>
          <a:ext cx="282784" cy="342063"/>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st028\UEDA_WK\ZFREE\&#65420;&#65438;&#65434;&#65437;&#65408;&#65438;&#65392;&#23460;\&#21407;&#37202;&#31649;&#29702;&#65404;&#65405;&#65411;&#65425;\&#30033;&#20013;&#29992;&#20316;&#26989;\&#65297;&#65296;&#65294;&#65297;&#65305;&#35500;&#26126;&#29992;\A&#20104;&#31639;G\&#21942;&#26989;&#22806;\&#24259;&#26820;&#256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ranfs001\joint\Documents%20and%20Settings\Administrator\My%20Documents\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rimo\k2\&#12381;&#12398;&#20182;\&#21463;&#21462;&#36039;&#26009;\&#26368;&#26032;\&#12510;&#12473;&#12479;&#30011;&#38754;&#21517;&#19968;&#3523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W2\&#38283;&#30330;\&#28168;&#29983;&#20250;\&#65300;&#27425;&#12501;~1\&#20104;&#31639;\&#38283;&#30330;\YOSAN\xls\1&#35386;&#30274;&#26045;&#3537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occfs801\share\&#21942;&#26989;&#20849;&#36890;&#22522;&#30436;G\02&#65306;&#20849;&#36890;&#12510;&#12473;&#12479;\022&#65306;&#21830;&#21697;&#31995;\&#12304;BTS&#12305;&#21830;&#21697;\100&#65306;&#36939;&#29992;&#12489;&#12461;&#12517;&#12513;&#12531;&#12488;\120&#65306;&#12496;&#12483;&#12481;\123&#65306;&#20966;&#29702;&#23450;&#32681;&#26360;\02%20FDB\&#20966;&#29702;&#20181;&#27096;&#26360;\&#12496;&#12483;&#12481;&#35443;&#32048;&#20966;&#29702;&#20181;&#27096;&#26360;(FDB&#36865;&#20449;&#23550;&#35937;&#27770;&#2345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x\&#12472;&#12501;&#12522;\&#12467;&#12531;&#12499;&#12491;&#21531;\Ver105&#65404;&#65438;&#65420;&#65432;&#39015;&#23458;&#65423;&#65405;&#65408;&#21462;&#36796;\&#27231;&#33021;&#30906;&#35469;&#26360;\&#27770;&#31639;\&#25163;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mtn41\03&#37096;&#32626;&#21029;\&#12473;&#12479;&#12483;&#12501;G&#20316;&#26989;\CDP\CDP_20100601_&#26399;&#20013;&#12524;&#12540;&#12488;\&#12487;&#12451;&#12524;&#12540;&#12489;&#12458;&#12531;&#12521;&#12452;&#12531;\CDP_&#22793;&#26356;&#31649;&#29702;_20100709_&#26399;&#20013;&#12524;&#12540;&#12488;&#23550;&#2454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ilesv1\2_tmp\&#32207;&#21512;&#21106;&#36070;\PJ&#31649;&#12306;\&#25215;&#35469;&#24453;&#12385;\&#35336;&#30011;&#26360;\IT2&#23455;&#26045;&#35336;&#30011;&#26360;&#65288;&#65404;&#65390;&#65391;&#65419;&#65439;&#65437;&#65400;&#65438;SS&#12539;&#32080;&#21512;&#65301;&#65289;\&#65353;&#65332;&#65298;&#35201;&#21729;&#35336;&#30011;&#65288;&#40658;&#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mtn09\&#27197;&#12471;&#12473;&#12486;&#12512;\IC\Document\&#35373;&#35336;&#38306;&#36899;\ic\&#20840;&#20307;&#36039;&#26009;\DB&#12524;&#12452;&#12450;&#12454;&#12488;\DB&#12524;&#12452;&#12450;&#12454;&#12488;(&#65321;&#65315;(MJY&#21547;&#1241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ranfs001\JOINT\Documents%20and%20Settings\yashima\My%20Documents\&#20840;&#21839;&#3898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pns4\&#38283;&#30330;\Suntory\FOODS_&#20849;&#36890;&#20661;&#27177;&#31649;&#29702;&#65404;&#65405;&#65411;&#65425;\92&#12527;&#12540;&#12463;\taguchi\temp\20030408-&#20316;&#25104;\&#38917;&#30446;&#23450;&#32681;&#26360;_&#12487;&#12501;&#12457;&#12523;&#1248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ranfs001\JOINT\WINNT\TEMP\sst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mtn42\04&#12503;&#12525;&#12472;&#12455;&#12463;&#12488;&#21029;\Adinn\PrivateTool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owerful\Customer\Documents%20and%20Settings\psro20071\Local%20Settings\Temporary%20Internet%20Files\OLKF7\IEDI&#20351;&#29992;&#12469;&#12502;&#19968;&#35239;2004091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vid\scspro\JBCRAFT\&#32207;&#21209;\&#35211;&#31309;&#26360;\&#65305;&#65302;&#24180;&#24230;\Est9602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NXNFS001\Z-Drive\Documents%20and%20Settings\nagaaki.SMT\Local%20Settings\Temporary%20Internet%20Files\OLKA\&#12473;&#12465;&#12472;&#12517;&#12540;&#12523;_2005081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occfs801.sgn.suntory.co.jp\share\SU_&#12473;&#12479;&#12483;&#12501;G\SMT\GUA\04.&#25913;&#23450;&#36039;&#26009;\&#12304;20110526_&#25215;&#35469;&#30011;&#38754;&#24115;&#31080;&#20986;&#21147;&#23550;&#24540;&#12305;\data\&#12465;&#12540;&#12473;01\template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ranfs001\JOINT\&#65332;&#65321;&#65331;\ORK(FAXOCR&#30330;&#27880;&#26360;)\&#12489;&#12461;&#12517;&#12513;&#12531;&#12488;\02&#22806;&#37096;&#35373;&#35336;&#25104;&#26524;&#29289;\0201&#30011;&#38754;&#35373;&#35336;&#26360;\A&#30330;&#27880;&#26360;&#20316;&#25104;\&#30011;&#38754;&#35373;&#35336;&#26360;&#65288;&#21830;&#21697;&#12524;&#12452;&#12450;&#12454;&#12488;&#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OW2\&#38283;&#30330;\&#28168;&#29983;&#20250;\&#65300;&#27425;&#12501;~1\&#20104;&#31639;\&#38283;&#30330;\YOSAN\xls\SKXLS0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12373;&#12367;&#12425;&#24773;&#22577;&#27770;&#28168;&#12473;&#12486;&#12540;&#12471;&#12519;&#12531;&#65288;&#25658;&#24111;&#29256;&#65289;\&#12503;&#12525;&#12472;&#12455;&#12463;&#12488;&#31649;&#29702;\20080501&#35211;&#31309;&#36865;&#20184;&#36039;&#26009;\&#12467;&#12500;&#12540;%20&#65374;%20&#12373;&#12367;&#12425;&#24773;&#22577;&#12518;&#12540;&#12473;&#12465;&#12540;&#12473;&#27231;&#33021;&#19968;&#35239;&#12304;20080423&#25552;&#31034;&#20104;&#23450;&#123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o82pc021\share\Documents%20and%20Settings\aragami\My%20Documents\CONF_SYSTE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30_&#12486;&#12473;&#12488;\020_&#32080;&#21512;&#12486;&#12473;&#12488;\&#12304;SKY&#12305;&#32080;&#21512;&#12486;&#12473;&#12488;&#20197;&#38477;&#35506;&#38988;&#31649;&#29702;&#34920;&#65288;SBE&#65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nxnfs001\z-drive\User\&#12383;&#12394;&#12363;\&#26085;&#35468;\&#36939;&#29992;RPT&amp;&#26085;&#35468;&#65288;&#30000;&#20013;&#65289;2007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W:\SMT\GUA\04.&#25913;&#23450;&#36039;&#26009;\&#12304;2012XXXX_&#20849;&#36890;&#20250;&#35336;&#25913;&#21892;&#26696;&#20214;&#12305;\XX_GUA_HDJ&#29305;&#21029;&#23550;&#24540;_&#12495;&#12540;&#12466;&#12531;5&#21942;&#26989;&#26085;&#12398;&#21046;&#24230;&#12539;&#31649;&#29702;&#20250;&#35336;&#12408;&#12398;&#21453;&#26144;&#12398;&#20181;&#26041;\data\&#12465;&#12540;&#12473;01\template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mtn32\04&#12503;&#12525;&#12472;&#12455;&#12463;&#12488;&#21029;\10_&#35201;&#27714;&#20998;&#26512;\30_&#22522;&#26412;&#35373;&#35336;\&#30011;&#38754;&#20181;&#27096;&#26360;\(001)&#26989;&#21209;&#24215;&#24773;&#22577;&#65306;&#26989;&#21209;&#24215;&#30331;&#37682;&#65288;&#22522;&#26412;&#24773;&#22577;&#65297;&#6528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mtvn09\&#20849;&#26377;&#12501;&#12457;&#12523;&#12480;\Documents%20and%20Settings\smth80165\&#12487;&#12473;&#12463;&#12488;&#12483;&#12503;\testXX.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mtn41\03&#37096;&#32626;&#21029;\2000&#12471;&#12473;&#20107;&#37096;\2300&#12471;&#12473;S&#22823;&#38442;\&#12473;&#12479;&#12483;&#12501;&#36939;&#29992;\LPE_&#38263;&#26399;&#21069;&#25173;\&#20849;&#36890;&#20250;&#35336;&#27231;&#33021;&#25313;&#24373;\LPE_&#35201;&#27714;&#20181;&#27096;_LPEC_201006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12381;&#12398;&#20182;\&#21220;&#24608;\2005&#24180;12&#26376;&#20316;&#26989;&#26178;&#3829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mtn41\03&#37096;&#32626;&#21029;\&#12304;GNK&#12305;&#26032;&#37327;&#36009;&#25903;&#25588;\&#30011;&#38754;\QA&#12522;&#12473;&#12488;&#65288;&#31038;&#20869;&#31227;&#21205;&#20840;&#33324;&#6528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O81NT080\&#22823;MG\My%20Documents\&#26085;&#35468;&#12539;&#20316;&#26989;&#26085;&#22577;\&#21407;&#32025;&#12501;&#12457;&#12523;&#12480;\&#20316;&#26989;&#22577;&#21578;&#26360;\4&#26376;&#20316;&#2698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O81NT080\&#22823;MG\My%20Documents\&#26085;&#35468;&#12539;&#20316;&#26989;&#26085;&#22577;\&#21407;&#32025;&#12501;&#12457;&#12523;&#12480;\&#27827;&#2644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ranfs001\joint\SUNTORYvvv2Doc\03&#20869;&#37096;&#35373;&#35336;&#25104;&#26524;&#29289;\0301&#20869;&#37096;&#35373;&#35336;&#26360;\vvvf_&#25972;&#20633;\&#30011;&#38754;&#35373;&#35336;&#26360;\&#20869;&#37096;&#35373;&#35336;&#26360;&#65288;1-1&#27231;&#26448;&#37096;&#21521;&#12369;%20&#25312;&#28857;&#25972;&#20633;&#26528;&#30331;&#37682;&#6528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occfs801.sgn.suntory.co.jp\share\SU_&#12473;&#12479;&#12483;&#12501;G\SMT\&#20849;&#36890;\&#22823;&#37327;&#12487;&#12540;&#12479;CSV&#12450;&#12483;&#12503;&#12525;&#12540;&#12489;\10.&#12503;&#12525;&#12472;&#12455;&#12463;&#12488;&#35336;&#30011;\&#35506;&#38988;&#31649;&#29702;\QA&#3492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vid\scspro\&#25552;&#26696;&#26360;\&#34276;&#27810;&#34220;&#21697;\&#34276;&#27810;&#65297;X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UNNY\Princia\home\test\&#12487;&#12540;&#12479;&#12510;&#12540;&#1247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処分損ﾒﾓ(月次)"/>
      <sheetName val="処分損ﾒﾓ_月次_"/>
      <sheetName val="区分"/>
      <sheetName val="マスター"/>
      <sheetName val="バウチャー"/>
      <sheetName val="チェック内容一覧"/>
      <sheetName val="tmp"/>
      <sheetName val="LOOKUP_WK"/>
      <sheetName val="区分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現行DB一覧2_CT_"/>
      <sheetName val="コード表"/>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1"/>
      <sheetName val="tmp"/>
      <sheetName val="#REF"/>
      <sheetName val="生産部、食製部　集約表ﾌｫｰﾏｯﾄ (SCM関連)"/>
      <sheetName val="スタッフ部　集約表ﾌｫｰﾏｯﾄ＜ｻﾝﾌﾟﾙ＞"/>
      <sheetName val="工場　集約表＜ｻﾝﾌﾟﾙ＞"/>
      <sheetName val="工場　集約表ﾌｫｰﾏｯﾄ"/>
      <sheetName val="⑤共通配合表 (HQN対応) (色無し) (2)"/>
      <sheetName val="⑤共通配合表 (HQN対応) (色無し)"/>
      <sheetName val="基本設計"/>
      <sheetName val="_REF"/>
      <sheetName val="ﾊﾟﾚｰﾄ"/>
      <sheetName val="Sheet1"/>
      <sheetName val="Sheet2"/>
      <sheetName val="Sheet3"/>
      <sheetName val="生産実験報告書（HRS） (2)"/>
      <sheetName val="生産実験報告書（HRS） (3)"/>
      <sheetName val="SP52指数"/>
      <sheetName val="DS52指数"/>
      <sheetName val="メインメニュー"/>
      <sheetName val="品種設定"/>
      <sheetName val="W品種設定"/>
      <sheetName val="日報メニュー"/>
      <sheetName val="W作業日報"/>
      <sheetName val="作業日報"/>
      <sheetName val="W充填"/>
      <sheetName val="充填"/>
      <sheetName val="W巻締"/>
      <sheetName val="巻締"/>
      <sheetName val="WESC"/>
      <sheetName val="ESC"/>
      <sheetName val="W空瓶検査"/>
      <sheetName val="空瓶検査"/>
      <sheetName val="W製造数管理日報"/>
      <sheetName val="製造数管理日報"/>
      <sheetName val="W実瓶検査"/>
      <sheetName val="実壜検査"/>
      <sheetName val="待機"/>
      <sheetName val="品種選択画面"/>
      <sheetName val="実績 (2)"/>
      <sheetName val="実績"/>
      <sheetName val="実績(前)"/>
      <sheetName val="Work"/>
      <sheetName val="区分値"/>
      <sheetName val="区分"/>
      <sheetName val="地区別"/>
      <sheetName val="基本量販店動向 (2)"/>
      <sheetName val="基本量販店動向"/>
      <sheetName val="基本量販店動向 tomato"/>
      <sheetName val="基本量販店動向 (3)"/>
      <sheetName val="Sheet1 (3)"/>
      <sheetName val="①充実野菜"/>
      <sheetName val=""/>
      <sheetName val="量販店動向1"/>
      <sheetName val="S"/>
      <sheetName val="14w日曜の市"/>
      <sheetName val="商品台帳"/>
      <sheetName val="指数"/>
      <sheetName val="まとめグロサリー"/>
      <sheetName val="P４（７月）"/>
      <sheetName val="予算計画"/>
      <sheetName val="l37쳸d⨀䂤 "/>
      <sheetName val="_7254"/>
      <sheetName val="_7254_515"/>
      <sheetName val="2月"/>
      <sheetName val="台帳"/>
      <sheetName val="l37쳸d⨀䂤 ?⋌,9"/>
      <sheetName val="_7254??15"/>
      <sheetName val="予算・過去実績"/>
      <sheetName val="1_1006divson210"/>
      <sheetName val="2_1006divson220"/>
      <sheetName val="3_1006divson230"/>
      <sheetName val="4_1006divson240"/>
      <sheetName val="5_1006divson250"/>
      <sheetName val="6_1006divson270"/>
      <sheetName val="7_1006divson280"/>
      <sheetName val="8_1006divson999"/>
      <sheetName val="l37쳸d⨀䂤 _⋌,9"/>
      <sheetName val="_7254__15"/>
      <sheetName val="Sheet5"/>
      <sheetName val="Sheet9"/>
      <sheetName val="基本cvs動向"/>
      <sheetName val="表紙"/>
      <sheetName val="l37쳸d⨀䂤  ⋌,9"/>
      <sheetName val="_7254  15"/>
      <sheetName val="④回答結果"/>
      <sheetName val="oue\My Documents"/>
      <sheetName val="●改廃FVﾁｪｯｸ3（20140329通報～）.xls"/>
      <sheetName val="ＭＹ坂井醤油"/>
      <sheetName val="oue_My Documents"/>
      <sheetName val="豆畑倉敷"/>
      <sheetName val="上期実績"/>
      <sheetName val="POP案内"/>
      <sheetName val="5-6月キャンペーン"/>
      <sheetName val="人口移動第４表"/>
      <sheetName val="#REF!"/>
      <sheetName val="ﾌﾙｰﾂ村pet"/>
      <sheetName val="⑤弁当"/>
      <sheetName val="行楽ﾌｪｱ"/>
      <sheetName val="489社"/>
      <sheetName val="カレドミルク"/>
      <sheetName val="原紙"/>
      <sheetName val="ﾒｲﾃﾝ"/>
      <sheetName val="銘店"/>
      <sheetName val="原紙 (3)"/>
      <sheetName val="原紙 (4)"/>
      <sheetName val="45週"/>
      <sheetName val="8月"/>
      <sheetName val="８月 （２）"/>
      <sheetName val="プチぐるみ"/>
      <sheetName val="８月（３）"/>
      <sheetName val="８月（４）"/>
      <sheetName val="298均一"/>
      <sheetName val="９９円均一"/>
      <sheetName val="ＣＢキット"/>
      <sheetName val="ダースキット"/>
      <sheetName val="001"/>
      <sheetName val="東北"/>
      <sheetName val="東北 (２)"/>
      <sheetName val="長野"/>
      <sheetName val="7月度"/>
      <sheetName val="ワイン 表 (2)"/>
      <sheetName val="ﾌﾙｰﾂﾜｲﾝ"/>
      <sheetName val="ﾌﾙｰﾂﾜｲﾝ (2)"/>
      <sheetName val="商品ﾏｽﾀｰ"/>
      <sheetName val="商談報告書"/>
      <sheetName val="ﾒ-ｶ-別対比"/>
      <sheetName val="アニマーレ"/>
      <sheetName val="イカワ"/>
      <sheetName val="フェレロ"/>
      <sheetName val="輸入"/>
      <sheetName val="輸入 (2)"/>
      <sheetName val="ホテルオ－クラ"/>
      <sheetName val="陳指38"/>
      <sheetName val="延岡040オープン"/>
      <sheetName val="０４２基本"/>
      <sheetName val="１2月度ﾏﾈｷﾝ計画"/>
      <sheetName val="コンタクト (2)"/>
      <sheetName val="シルバーおむつ (2)"/>
      <sheetName val="５月VP  (3)"/>
      <sheetName val="花粉吊り下げ２ (3)"/>
      <sheetName val="ｺﾝﾀｸﾄ3月度 (2)"/>
      <sheetName val="表紙 (2)"/>
      <sheetName val="特保ケース売り (2)"/>
      <sheetName val="カルピス健康フェア (2)"/>
      <sheetName val="バディエット企画書 (2)"/>
      <sheetName val="スリムリング (2)"/>
      <sheetName val="ダイエット (2)"/>
      <sheetName val="B-UPドロップ発注表  (2)"/>
      <sheetName val="TVマスク台紙 (2)"/>
      <sheetName val="救急衛生 (2)"/>
      <sheetName val="コンタクトケア (2)"/>
      <sheetName val="ホテルオ−クラ"/>
      <sheetName val="按分係数修正"/>
      <sheetName val="収支表"/>
      <sheetName val="Sheet4"/>
      <sheetName val="全件ﾘｽﾄ"/>
      <sheetName val="カット"/>
      <sheetName val="新規リスト"/>
      <sheetName val="マット全件リスト"/>
      <sheetName val="ﾊﾟｰﾙ"/>
      <sheetName val="ニトムズ"/>
      <sheetName val="岩崎工業"/>
      <sheetName val="おたふく"/>
      <sheetName val="カゴメ"/>
      <sheetName val="リス"/>
      <sheetName val="関屋化学"/>
      <sheetName val="理研"/>
      <sheetName val="ｽｹｰﾀｰ"/>
      <sheetName val="清掃体系図"/>
      <sheetName val="02.02月POP"/>
      <sheetName val="サニタリー"/>
      <sheetName val="２本 (3)"/>
      <sheetName val="返品承認"/>
      <sheetName val="ラップ２－２"/>
      <sheetName val="ラップ２－１"/>
      <sheetName val="収納３－１ "/>
      <sheetName val="収納３－３"/>
      <sheetName val="収納３－２"/>
      <sheetName val="たわし3本"/>
      <sheetName val="新規"/>
      <sheetName val="都市ﾗｯﾌﾟ２本"/>
      <sheetName val="マスター登録用紙"/>
      <sheetName val="流し廻"/>
      <sheetName val="２００３年実績"/>
      <sheetName val="12月本部導入台帳"/>
      <sheetName val="商品登録票原紙 ﾌﾟﾘﾝﾄ"/>
      <sheetName val="03.10.11月"/>
      <sheetName val="依頼書"/>
      <sheetName val="山梨 (2)"/>
      <sheetName val="山梨"/>
      <sheetName val="月度数値"/>
      <sheetName val="週取組"/>
      <sheetName val="SM"/>
      <sheetName val="品質管理基準"/>
      <sheetName val="組織図"/>
      <sheetName val="管理基準"/>
      <sheetName val="ラップ２−２"/>
      <sheetName val="ラップ２−１"/>
      <sheetName val="収納３−１ "/>
      <sheetName val="収納３−３"/>
      <sheetName val="収納３−２"/>
      <sheetName val="05障子紙・清掃全件 (5)"/>
      <sheetName val="製菓"/>
      <sheetName val="新生活Ｋ"/>
      <sheetName val="5大塚"/>
      <sheetName val="年末年始."/>
      <sheetName val="PP大分"/>
      <sheetName val="PP大分 (2)"/>
      <sheetName val="PP大分 (3)"/>
      <sheetName val="イワタニ (15)"/>
      <sheetName val="リスト (2)"/>
      <sheetName val="リスト (3)"/>
      <sheetName val="リスト (4)"/>
      <sheetName val="まな板"/>
      <sheetName val="全件確定 (2)"/>
      <sheetName val="５月２日 "/>
      <sheetName val="５月２日  "/>
      <sheetName val="清掃"/>
      <sheetName val="2 (2)"/>
      <sheetName val="EXCEL_DATA_951042_221745"/>
      <sheetName val="マスター"/>
      <sheetName val="マスター作成"/>
      <sheetName val="追加カット"/>
      <sheetName val="画像"/>
      <sheetName val="&amp;B)..."/>
      <sheetName val="６月販売目標修正"/>
      <sheetName val="新色ライブリッシュ予約状況５月２５日現在"/>
      <sheetName val="チラシ原稿01,05の②"/>
      <sheetName val="チラシ原稿01,05の①"/>
      <sheetName val="２月度活動実績"/>
      <sheetName val="１月度活動実績"/>
      <sheetName val="１２月度活動実績"/>
      <sheetName val="１１月度活動実績"/>
      <sheetName val="１０月度活動実績"/>
      <sheetName val="２００２年度下半期活動実績"/>
      <sheetName val="UV実績"/>
      <sheetName val="作成用値"/>
      <sheetName val="新規登録原紙 (5)"/>
      <sheetName val="社員"/>
      <sheetName val="部門順位"/>
      <sheetName val="９月"/>
      <sheetName val="0409重点 (2)"/>
      <sheetName val="売上"/>
      <sheetName val="売上伸率"/>
      <sheetName val="1次PL"/>
      <sheetName val="利益率"/>
      <sheetName val="3次PL"/>
      <sheetName val="昨年差"/>
      <sheetName val="荒利率"/>
      <sheetName val="1値下率"/>
      <sheetName val="後藤会議用"/>
      <sheetName val="目薬"/>
      <sheetName val="ごとう (2)"/>
      <sheetName val="ドライアイ"/>
      <sheetName val="サンテ"/>
      <sheetName val="アスピリン"/>
      <sheetName val="ｋｌｋ元 (2)"/>
      <sheetName val="今後の対応①"/>
      <sheetName val="今後の対応②"/>
      <sheetName val="東北② (2)"/>
      <sheetName val="Sheet1 (2)"/>
      <sheetName val="箱ﾓｼﾞｭｰﾙ"/>
      <sheetName val="_x0010_ʝ② (2)"/>
      <sheetName val="She}_x0013_"/>
      <sheetName val="1"/>
      <sheetName val="2"/>
      <sheetName val="3"/>
      <sheetName val="4"/>
      <sheetName val="5"/>
      <sheetName val="6"/>
      <sheetName val="7"/>
      <sheetName val="8"/>
      <sheetName val="9"/>
      <sheetName val="10"/>
      <sheetName val="11"/>
      <sheetName val="12"/>
      <sheetName val="２６０単品"/>
      <sheetName val="２７０単品"/>
      <sheetName val="A"/>
      <sheetName val="B"/>
      <sheetName val="汎用分析レポート"/>
      <sheetName val="③"/>
      <sheetName val="04,08"/>
      <sheetName val="31-33"/>
      <sheetName val="カテゴリ別店舗べスト"/>
      <sheetName val="単品作業表紙 (271)"/>
      <sheetName val="28-29"/>
      <sheetName val="28-29 (2)"/>
      <sheetName val="230"/>
      <sheetName val="241"/>
      <sheetName val="242"/>
      <sheetName val="243"/>
      <sheetName val="3 (3)"/>
      <sheetName val="月間行為計画書数値"/>
      <sheetName val="7月BSG375"/>
      <sheetName val="7月BSG375(2)"/>
      <sheetName val="7月BSG375(3)"/>
      <sheetName val="7月BSG375(4)"/>
      <sheetName val="7月BSG375(5)"/>
      <sheetName val="ｱｽﾍﾞﾙ"/>
      <sheetName val="ｱｽﾍﾞﾙ(2)"/>
      <sheetName val="ﾎｰｸｽｾｰﾙ商品ﾘｽﾄ (4)"/>
      <sheetName val="ｻﾘﾌﾞﾌﾗｲﾊﾟﾝｶﾊﾞｰ16～20変更"/>
      <sheetName val="3怑"/>
      <sheetName val="戦略展開"/>
      <sheetName val="半期販売計画"/>
      <sheetName val="&amp;B)...?ﾌｧｲﾙの種類(&amp;T)?自動的に更新する(&amp;C)"/>
      <sheetName val="デリカ荒利対策"/>
      <sheetName val="美ら海 (2)"/>
      <sheetName val="⑤原材料調査書 (2)"/>
      <sheetName val="⑥原材料リスト (3)"/>
      <sheetName val="ｻﾘﾌﾞﾌﾗｲﾊﾟﾝｶﾊﾞｰ16〜20変更"/>
      <sheetName val="3_"/>
      <sheetName val="&amp;B)..._ﾌｧｲﾙの種類(&amp;T)_自動的に更新する(&amp;C)"/>
      <sheetName val="ギフト受注データ"/>
      <sheetName val="農産乾物"/>
      <sheetName val="かつおぶし"/>
      <sheetName val="のり"/>
      <sheetName val="海産乾物"/>
      <sheetName val="店舗別配布表"/>
      <sheetName val="購入平均売価"/>
      <sheetName val="06"/>
      <sheetName val="05"/>
      <sheetName val="04"/>
      <sheetName val="橋本"/>
      <sheetName val="板本"/>
      <sheetName val="谷口"/>
      <sheetName val="藤川"/>
      <sheetName val="山崎"/>
      <sheetName val="奥本"/>
      <sheetName val="正地"/>
      <sheetName val="福田"/>
      <sheetName val="石井"/>
      <sheetName val="山縣"/>
      <sheetName val="She}_x0013_?kÞÌ"/>
      <sheetName val="08年６月"/>
      <sheetName val="１２月"/>
      <sheetName val="ユーカリ新聞"/>
      <sheetName val="３月売場計画"/>
      <sheetName val="11月コメント"/>
      <sheetName val="5月売場計画"/>
      <sheetName val="She}_x0013__kÞÌ"/>
      <sheetName val="見積り2 (3)"/>
      <sheetName val="変わります"/>
      <sheetName val="B_THKP(XDM)"/>
      <sheetName val="Sheet6"/>
      <sheetName val="Sheet7"/>
      <sheetName val="Sheet8"/>
      <sheetName val="TKKTNTRAM"/>
      <sheetName val="THKLNTR"/>
      <sheetName val="XL4Poppy"/>
      <sheetName val="XL4Test5"/>
      <sheetName val="TSTT"/>
      <sheetName val="BKL"/>
      <sheetName val="TKT"/>
      <sheetName val="00000000"/>
      <sheetName val="10000000"/>
      <sheetName val="20000000"/>
      <sheetName val="XL4Test5 (2)"/>
      <sheetName val="XL4Test5 (3)"/>
      <sheetName val="XL4Test5 (4)"/>
      <sheetName val="XL4Test5 (5)"/>
      <sheetName val="VatLieu"/>
      <sheetName val="THVL"/>
      <sheetName val="nh_cb"/>
      <sheetName val="DG"/>
      <sheetName val="構成比"/>
      <sheetName val="売上推移"/>
      <sheetName val="売上推移グラフ"/>
      <sheetName val="予実"/>
      <sheetName val="買場別"/>
      <sheetName val="開発実績"/>
      <sheetName val="売店調査リスト（既存）"/>
      <sheetName val="全支店 計"/>
      <sheetName val="ｹｰｽ実績"/>
      <sheetName val="7月"/>
      <sheetName val="労保料"/>
      <sheetName val="介護保険 松本工場"/>
      <sheetName val="標準報酬"/>
      <sheetName val="１月"/>
      <sheetName val="２月"/>
      <sheetName val="３月"/>
      <sheetName val="４月"/>
      <sheetName val="５月"/>
      <sheetName val="６月"/>
      <sheetName val="７月"/>
      <sheetName val="東北② (2_x0002_"/>
      <sheetName val="新生఻"/>
      <sheetName val="05障子紙・清掃全件 (ȵ"/>
      <sheetName val="_x0012_Ž"/>
      <sheetName val="_x0012__x0013_"/>
      <sheetName val="カネボウ"/>
      <sheetName val="コーセー"/>
      <sheetName val="244"/>
      <sheetName val="暖房・冬物関連 (2)"/>
      <sheetName val="一覧"/>
      <sheetName val="直営マックスバリュVD傾向"/>
      <sheetName val="Sheet7 (2)"/>
      <sheetName val="Sheet10"/>
      <sheetName val="Sheet11"/>
      <sheetName val="Sheet12"/>
      <sheetName val="仕事リストの設定(&amp;I)仕事リストのビュー(&amp;K)連絡先(&amp;A"/>
      <sheetName val="180"/>
      <sheetName val="430"/>
      <sheetName val="AP(ｴﾝｼﾞﾆｱ)②"/>
      <sheetName val="2012果物供物（日別）"/>
      <sheetName val="2012生花（日別）"/>
      <sheetName val="34"/>
      <sheetName val="基本量販店動向_(2)"/>
      <sheetName val="基本量販店動向_tomato"/>
      <sheetName val="基本量販店動向_(3)"/>
      <sheetName val="Sheet1_(3)"/>
      <sheetName val="l37쳸d⨀䂤 _⋌,91"/>
      <sheetName val="_7254__151"/>
      <sheetName val="Sheet1¤ļ䷨փ䭸փ"/>
      <sheetName val="oue\My_DocumentsALLUSERSPROFIL"/>
      <sheetName val="Sheet1¤ļ䷨փ䭸փ丈փ[Book"/>
      <sheetName val="oue_My_Documents"/>
      <sheetName val="原紙_(3)"/>
      <sheetName val="原紙_(4)"/>
      <sheetName val="８月_（２）"/>
      <sheetName val="東北_(２)"/>
      <sheetName val="ワイン_表_(2)"/>
      <sheetName val="ﾌﾙｰﾂﾜｲﾝ_(2)"/>
      <sheetName val="輸入_(2)"/>
      <sheetName val="コンタクト_(2)"/>
      <sheetName val="シルバーおむつ_(2)"/>
      <sheetName val="５月VP__(3)"/>
      <sheetName val="花粉吊り下げ２_(3)"/>
      <sheetName val="ｺﾝﾀｸﾄ3月度_(2)"/>
      <sheetName val="表紙_(2)"/>
      <sheetName val="特保ケース売り_(2)"/>
      <sheetName val="カルピス健康フェア_(2)"/>
      <sheetName val="バディエット企画書_(2)"/>
      <sheetName val="スリムリング_(2)"/>
      <sheetName val="ダイエット_(2)"/>
      <sheetName val="B-UPドロップ発注表__(2)"/>
      <sheetName val="TVマスク台紙_(2)"/>
      <sheetName val="救急衛生_(2)"/>
      <sheetName val="コンタクトケア_(2)"/>
      <sheetName val="02_02月POP"/>
      <sheetName val="２本_(3)"/>
      <sheetName val="収納３－１_"/>
      <sheetName val="商品登録票原紙_ﾌﾟﾘﾝﾄ"/>
      <sheetName val="03_10_11月"/>
      <sheetName val="山梨_(2)"/>
      <sheetName val="収納３−１_"/>
      <sheetName val="05障子紙・清掃全件_(5)"/>
      <sheetName val="年末年始_"/>
      <sheetName val="PP大分_(2)"/>
      <sheetName val="PP大分_(3)"/>
      <sheetName val="イワタニ_(15)"/>
      <sheetName val="リスト_(2)"/>
      <sheetName val="リスト_(3)"/>
      <sheetName val="リスト_(4)"/>
      <sheetName val="全件確定_(2)"/>
      <sheetName val="５月２日_"/>
      <sheetName val="５月２日__"/>
      <sheetName val="2_(2)"/>
      <sheetName val="&amp;B)___ﾌｧｲﾙの種類(&amp;T)自動的に更新する(&amp;C)"/>
      <sheetName val="新規登録原紙_(5)"/>
      <sheetName val="0409重点_(2)"/>
      <sheetName val="ごとう_(2)"/>
      <sheetName val="ｋｌｋ元_(2)"/>
      <sheetName val="&amp;B)___"/>
      <sheetName val="東北②_(2)"/>
      <sheetName val="Sheet1_(2)"/>
      <sheetName val="ʝ②_(2)"/>
      <sheetName val="She}kÞÌ"/>
      <sheetName val="単品作業表紙_(271)"/>
      <sheetName val="28-29_(2)"/>
      <sheetName val="3_(3)"/>
      <sheetName val="ﾎｰｸｽｾｰﾙ商品ﾘｽﾄ_(4)"/>
      <sheetName val="&amp;B)___?ﾌｧｲﾙの種類(&amp;T)?自動的に更新する(&amp;C)"/>
      <sheetName val="美ら海_(2)"/>
      <sheetName val="⑤原材料調査書_(2)"/>
      <sheetName val="⑥原材料リスト_(3)"/>
      <sheetName val="&amp;B)____ﾌｧｲﾙの種類(&amp;T)_自動的に更新する(&amp;C)"/>
      <sheetName val="She}"/>
      <sheetName val="She}?kÞÌ"/>
      <sheetName val="She}_kÞÌ"/>
      <sheetName val="見積り2_(3)"/>
      <sheetName val="XL4Test5_(2)"/>
      <sheetName val="XL4Test5_(3)"/>
      <sheetName val="XL4Test5_(4)"/>
      <sheetName val="XL4Test5_(5)"/>
      <sheetName val="全支店_計"/>
      <sheetName val="介護保険_松本工場"/>
      <sheetName val="東北②_(2"/>
      <sheetName val=""/>
      <sheetName val="&gt;"/>
      <sheetName val="05障子紙・清掃全件_(ȵ"/>
      <sheetName val="Ž"/>
      <sheetName val="&gt;’"/>
      <sheetName val=""/>
      <sheetName val="暖房・冬物関連_(2)"/>
      <sheetName val="Sheet7_(2)"/>
      <sheetName val="oue\My_Documents"/>
      <sheetName val="Sheet1¤ļ䷨փ䭸փ丈փ[Book1_x"/>
      <sheetName val="oue_My_DocumentsALLUSERSPROFIL"/>
      <sheetName val="Sheet1¤ļ䷨փ䭸փ丈փ_Book"/>
      <sheetName val="刺身"/>
      <sheetName val="丸魚切り身"/>
      <sheetName val="SF"/>
      <sheetName val="合計"/>
      <sheetName val="DPT"/>
      <sheetName val="０３年"/>
      <sheetName val="０４年上期"/>
      <sheetName val="０２年７月分析シート.xls"/>
      <sheetName val="発注実績照会 (3)"/>
      <sheetName val=" ʝ② (2)"/>
      <sheetName val="She} "/>
      <sheetName val="東北② (2 "/>
      <sheetName val=" Ž"/>
      <sheetName val="  "/>
      <sheetName val="?_x0012_"/>
      <sheetName val="???_x0012__x0013_?&gt;_x0013_?????????"/>
      <sheetName val="新生఻?"/>
      <sheetName val="05障子紙・清掃全件 (ȵ?"/>
      <sheetName val="_x0012__x0013_?&gt;’_x0013_?"/>
      <sheetName val="She} ?kÞÌ"/>
      <sheetName val="? "/>
      <sheetName val="???  ?&gt; ?????????"/>
      <sheetName val="  ?&gt;’ ?"/>
      <sheetName val="fficeGlobal"/>
      <sheetName val="__x0012_"/>
      <sheetName val="____x0012__x0013__&gt;_x0013__________"/>
      <sheetName val="新生఻_"/>
      <sheetName val="05障子紙・清掃全件 (ȵ_"/>
      <sheetName val="_x0012__x0013__&gt;’_x0013__"/>
      <sheetName val="１品"/>
      <sheetName val="１品 (2)"/>
      <sheetName val="商品台帳（ＭＤコーナー）"/>
      <sheetName val="店名"/>
      <sheetName val="She} _kÞÌ"/>
      <sheetName val="_ "/>
      <sheetName val="l37쳸d⨀䂤 _x0000_⋌,9"/>
      <sheetName val="_7254_x0000__x0000_15"/>
      <sheetName val="Sheet1_x0000__x0000_¤_x0014__x0000__x0000__x0000__x0000__x0000__x0000__x0001_ļ䷨փ_x0000__x0004__x0000__x0000__x0000__x0000__x0000__x0000_䭸փ_x0000_"/>
      <sheetName val="oue\My Documents_x0000_ALLUSERSPROFIL"/>
      <sheetName val="Sheet1_x0000_¤_x0014__x0000__x0001_ļ䷨փ_x0000__x0004__x0000_䭸փ_x0000_丈փ_x0000__x0001__x0000__x000e_[Book"/>
      <sheetName val="&amp;B)..._x0000_ﾌｧｲﾙの種類(&amp;T)_x0000_自動的に更新する(&amp;C)"/>
      <sheetName val="She}_x0013__x0000_kÞÌ"/>
      <sheetName val="_x0000__x0012_"/>
      <sheetName val="_x0000__x0000__x0000__x0012__x0013__x0000_&gt;_x0013__x0000__x0000__x0000__x0000__x0000__x0000__x0000__x0000__x0000_"/>
      <sheetName val="_x0012__x0013__x0000_&gt;’_x0013__x0000_"/>
      <sheetName val="Sheet1_x0000_¤_x0014__x0000__x0001_ļ䷨փ_x0004__x0000_䭸փ丈փ_x0001__x0000__x000e_[Book1.x"/>
      <sheetName val="She} _x0000_kÞÌ"/>
      <sheetName val="_x0000_ "/>
      <sheetName val="_x0000__x0000__x0000_  _x0000_&gt; _x0000__x0000__x0000__x0000__x0000__x0000__x0000__x0000__x0000_"/>
      <sheetName val="  _x0000_&gt;’ _x0000_"/>
      <sheetName val="fficeGlobal_x0000_InfoPath_x0000_RibbonUI_x0000_A"/>
      <sheetName val="販促物-用"/>
      <sheetName val="hortAbbrevDayName1_x0000_ShortAbbrevD"/>
      <sheetName val="060918 263"/>
      <sheetName val="061221　275"/>
      <sheetName val="課別予算＆Ｇａｐ "/>
      <sheetName val="___  _&gt; _________"/>
      <sheetName val="  _&gt;’ _"/>
      <sheetName val="hortAbbrevDayName1"/>
      <sheetName val="原紙 (2)"/>
      <sheetName val="関東-月間"/>
      <sheetName val="冷蔵庫3(400L以上)"/>
      <sheetName val="下書2 (2)"/>
      <sheetName val="下書2"/>
      <sheetName val="Q9　日本酒掲載要望　男女"/>
      <sheetName val="A表　右"/>
      <sheetName val="0108発売ｻﾏﾘｰ"/>
      <sheetName val="緑黄色野菜のお豆腐バーグ"/>
      <sheetName val="いわしの魚バーグ"/>
      <sheetName val="ひじきのお豆腐バーグ"/>
      <sheetName val="鶏肉と根菜のお豆腐バーグ"/>
      <sheetName val="発売提案チーズかまぼこ"/>
      <sheetName val="ベーコン"/>
      <sheetName val="ハーフベーコン"/>
      <sheetName val="ミニカットベーコン"/>
      <sheetName val="ﾌﾟﾚｰﾝ"/>
      <sheetName val="ﾁｰｽﾞ"/>
      <sheetName val="ﾁｮｺ"/>
      <sheetName val="ﾁｮｺﾊﾞﾅﾅ"/>
      <sheetName val="[Book1.xls]oue\My Documents_x0000_ALL"/>
      <sheetName val="[Book1.xls]oue\My Documents"/>
      <sheetName val="赤どり"/>
      <sheetName val="[Book1.xls]oue\My_DocumentsALLU"/>
      <sheetName val="●改廃FVﾁｪｯｸ3（20140329通報～）_xls"/>
      <sheetName val="[Book1.xls]oue\My_Documents"/>
      <sheetName val="[Book1.xls][Book1.xls][Book1.xl"/>
      <sheetName val="ドライエイド"/>
      <sheetName val="[Book1.xls][Book1.xls]oue\My Do"/>
      <sheetName val="[Book1.xls][Book1.xls]oue\My_Do"/>
      <sheetName val="導入アイテム②"/>
      <sheetName val="虫さされ企画明細"/>
      <sheetName val="ｸﾘｰﾝﾃﾞﾝﾀﾙ企画明細"/>
      <sheetName val="ｶﾛﾔﾝｼﾞｪｯﾄ企画明細"/>
      <sheetName val="ｼﾃｨｰｽﾎﾜｲﾄ吊下げ企画明細"/>
      <sheetName val="ｻﾝｼｰﾗ･ﾋﾟｭｱ1000企画明細"/>
      <sheetName val="検索結果"/>
      <sheetName val="検索結果 (2)"/>
      <sheetName val="殺虫(3月)"/>
      <sheetName val="アクネージア"/>
      <sheetName val="配荷案"/>
      <sheetName val="配荷まとめ"/>
      <sheetName val="自然発注見込み"/>
      <sheetName val="メラノ"/>
      <sheetName val="リフレア"/>
      <sheetName val="Sheet1¤ļ䷨փ䭸փ丈փ_Book1_x"/>
      <sheetName val="Sheet1??¤_x0014_??????_x0001_ļ䷨փ?_x0004_??????䭸փ?"/>
      <sheetName val="Sheet1__¤_x0014________x0001_ļ䷨փ__x0004_______䭸փ_"/>
      <sheetName val="l37쳸d⨀䂤 _x005f_x0000_⋌,9"/>
      <sheetName val="_7254_x005f_x0000__x005f_x0000_15"/>
      <sheetName val="Sheet1_x005f_x0000__x005f_x0000_¤_x005f_x0014__x0"/>
      <sheetName val="Sheet1__¤_x005f_x0014________x005f_x0001_ļ䷨"/>
      <sheetName val="l37쳸d⨀䂤 _x005f_x005f_x005f_x0000_⋌,9"/>
      <sheetName val="_7254_x005f_x005f_x005f_x0000__x005f_x005f_x005f_x0000_"/>
      <sheetName val="下書2_(2)"/>
      <sheetName val="１品_(2)"/>
      <sheetName val="０２年７月分析シート_xls"/>
      <sheetName val="発注実績照会_(3)"/>
      <sheetName val="_ʝ②_(2)"/>
      <sheetName val="She}_"/>
      <sheetName val="東北②_(2_"/>
      <sheetName val="_Ž"/>
      <sheetName val="__"/>
      <sheetName val="?"/>
      <sheetName val="????&gt;?????????"/>
      <sheetName val="05障子紙・清掃全件_(ȵ?"/>
      <sheetName val="?&gt;’?"/>
      <sheetName val="She}_?kÞÌ"/>
      <sheetName val="?_"/>
      <sheetName val="???__?&gt;_?????????"/>
      <sheetName val="__?&gt;’_?"/>
      <sheetName val="_"/>
      <sheetName val="____&gt;_________"/>
      <sheetName val="05障子紙・清掃全件_(ȵ_"/>
      <sheetName val="_&gt;’_"/>
      <sheetName val="__&gt;_"/>
      <sheetName val="__&gt;’_"/>
      <sheetName val="商品台帳（大部門別）"/>
      <sheetName val="ext Box 81_x0000_Text Box 85_x0000_倠㪡_x0001__x0000_垘ө_x0002__x0000_"/>
      <sheetName val="Sample旧"/>
      <sheetName val="_x0000__x0004_"/>
      <sheetName val="第２週(トマト）"/>
      <sheetName val="２ｗイチゴ"/>
      <sheetName val="カットフルーツ"/>
      <sheetName val="rl+X_x0000__x0005__x0005_Ā_x000a_コピー(&amp;C)_x0009_Ctrl+C_x0000_翿_x0005__x000a__x0000__x000a_Ơ믤"/>
      <sheetName val="rl+X"/>
      <sheetName val="全件ﾘｽﾄ_x0000__x0000__x0000__x0000__x0000__x0000__x0000__x0010_[BOOK1.XLS]新規リスト_x0000__x0000_"/>
      <sheetName val="注文書管理【HBC】 (2)"/>
      <sheetName val="注文書未発行リスト【HBC】"/>
      <sheetName val="アンマッチ【ＨＢＣ】"/>
      <sheetName val="rl+X_x0000__x0005__x0005_Ā_x000a_コピー(&amp;C) Ctrl+C_x0000_翿_x0005__x000a__x0000__x000a_Ơ믤"/>
      <sheetName val="Sheet1¤ļ䷨փ䭸փ_x0000__x0000_退흰簷ثĂ"/>
      <sheetName val="oue\My Documents?ALLUSERSPROFIL"/>
      <sheetName val="Sheet1?¤_x0014_?_x0001_ļ䷨փ?_x0004_?䭸փ?丈փ?_x0001_?_x000e_[Book"/>
      <sheetName val="Sheet1?¤_x0014_?_x0001_ļ䷨փ_x0004_?䭸փ丈փ_x0001_?_x000e_[Book1.x"/>
      <sheetName val="７月本部発注企画"/>
      <sheetName val="＜うなぎ企画」「料理のための清酒」"/>
      <sheetName val="集約表(帳合ﾍﾞｰｽ）"/>
      <sheetName val="25DJ40"/>
      <sheetName val="'Sheet4'!$B$7:$I$8"/>
      <sheetName val="見積もり"/>
      <sheetName val="あなたの一日分企画書"/>
      <sheetName val="ＰＯＰ"/>
      <sheetName val="oue_My_Documents_ALLUSERSPROF_2"/>
      <sheetName val="Sheet1________________________2"/>
      <sheetName val="__________I____________K______2"/>
      <sheetName val="予定工数（全体）"/>
      <sheetName val="フォーマット変更履歴"/>
      <sheetName val="項目説明"/>
      <sheetName val="区分説明"/>
      <sheetName val="区分説明_OLD_20211224"/>
      <sheetName val="案件"/>
      <sheetName val="2201"/>
      <sheetName val="2202"/>
      <sheetName val="2203"/>
      <sheetName val="2204"/>
      <sheetName val="2205"/>
      <sheetName val="2206"/>
      <sheetName val="xxxx (2)"/>
      <sheetName val="JR用日誌"/>
      <sheetName val="_725415"/>
      <sheetName val="oue\My DocumentsALLUSERSPROFIL"/>
      <sheetName val="She}_x0013_kÞÌ"/>
      <sheetName val="_x0012_"/>
      <sheetName val="_x0012__x0013_&gt;_x0013_"/>
      <sheetName val="_x0012__x0013_&gt;’_x0013_"/>
      <sheetName val="She} kÞÌ"/>
      <sheetName val=" "/>
      <sheetName val="  &gt; "/>
      <sheetName val="  &gt;’ "/>
      <sheetName val="fficeGlobalInfoPathRibbonUIA"/>
      <sheetName val="hortAbbrevDayName1ShortAbbrevD"/>
      <sheetName val="[Book1.xls]oue\My DocumentsALL"/>
      <sheetName val="ext Box 81Text Box 85倠㪡_x0001_垘ө_x0002_"/>
      <sheetName val="_x0004_"/>
      <sheetName val="rl+X_x0005__x0005_Ā_x000a_コピー(&amp;C) Ctrl+C翿_x0005__x000a__x000a_Ơ믤"/>
      <sheetName val="全件ﾘｽﾄ_x0010_[BOOK1.XLS]新規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sheetData sheetId="563"/>
      <sheetData sheetId="564"/>
      <sheetData sheetId="565"/>
      <sheetData sheetId="566" refreshError="1"/>
      <sheetData sheetId="567" refreshError="1"/>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sheetData sheetId="583" refreshError="1"/>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sheetData sheetId="641" refreshError="1"/>
      <sheetData sheetId="642"/>
      <sheetData sheetId="643"/>
      <sheetData sheetId="644"/>
      <sheetData sheetId="645" refreshError="1"/>
      <sheetData sheetId="646" refreshError="1"/>
      <sheetData sheetId="647" refreshError="1"/>
      <sheetData sheetId="648"/>
      <sheetData sheetId="649"/>
      <sheetData sheetId="650">
        <row r="1">
          <cell r="A1" t="str">
            <v>JAN</v>
          </cell>
        </row>
      </sheetData>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トランザクション"/>
      <sheetName val="マスタ画面名一覧"/>
      <sheetName val="リスト"/>
      <sheetName val="項目選択の内容"/>
      <sheetName val="■リストボックス中身"/>
      <sheetName val="実施概要"/>
      <sheetName val="マスタ"/>
      <sheetName val="選択肢"/>
      <sheetName val="List"/>
      <sheetName val="表紙"/>
      <sheetName val="改訂履歴"/>
      <sheetName val="UT仕様書チェックリスト"/>
      <sheetName val="レビュー履歴"/>
      <sheetName val="試験履歴"/>
      <sheetName val="単体テスト仕様書"/>
      <sheetName val="①共通チェック項目"/>
      <sheetName val="②基本チェック項目"/>
      <sheetName val="Evidence"/>
      <sheetName val="UT試験観点チェックリスト"/>
      <sheetName val="テスト仕様書"/>
      <sheetName val="パターンマトリックス(データ×シナリオ)"/>
      <sheetName val="実施シナリオ"/>
      <sheetName val="処理定義"/>
      <sheetName val="区分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診療施設"/>
    </sheetNames>
    <definedNames>
      <definedName name="CSVUpDate"/>
    </defined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共通系進捗（2)"/>
      <sheetName val="情報系 (ID)"/>
      <sheetName val="情報系 (ED)"/>
      <sheetName val="情報系(RD)"/>
      <sheetName val="Sheet1"/>
      <sheetName val="Sheet2"/>
      <sheetName val="Sheet3"/>
      <sheetName val="変更要求"/>
      <sheetName val="UKE2 係コード"/>
      <sheetName val="UKE2 係コード (2)"/>
      <sheetName val="表紙"/>
      <sheetName val="サマリー"/>
      <sheetName val="TSM Server"/>
      <sheetName val="加入老名情報(2.3.1.3.2)"/>
      <sheetName val="加入者属性情報(10.5*5)"/>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キヸ情報(8.3.1)"/>
      <sheetName val="加入者塞性情報(5.2.2)"/>
      <sheetName val="変更前従業員属性_報(2.1.2.1)"/>
      <sheetName val="加_者属性情報(5.3.4.3)"/>
      <sheetName val="加_者別商品売却情報(6.4.1)"/>
      <sheetName val="加入者_商品売却情報(6.4.1)"/>
      <sheetName val="支払済ｽﾃ_ﾀｽ（5.3.2）"/>
      <sheetName val="加入者属性情報(5.3.19"/>
      <sheetName val="進捗表(ISOL）"/>
      <sheetName val="集計表（ISOL）　ｄｏｎ’ｔ　ｔｏｕｃｈ"/>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加入者ｽﾃｰﾀ_x0002__x0000__x0000__x0000_+_x0000_⽘_x0015__x0000__x0000_饦"/>
      <sheetName val="_x0000_:_x0013__x0000_0é0°_x0000__x0000__x0000__x0000_ ReQ_x0005_"/>
      <sheetName val="HW構成"/>
      <sheetName val="SW構成"/>
      <sheetName val="NW構成"/>
      <sheetName val="BladeCenter構成"/>
      <sheetName val="ユーザー情報一覧"/>
      <sheetName val="Windows共通設定"/>
      <sheetName val="GWサーバー(win)設定情報"/>
      <sheetName val="APサーバー(aix)設定情報"/>
      <sheetName val=":”_x0013__x0000_0é0°_x0000_ ReQ_x0005_"/>
      <sheetName val="加入者ｽﾃｰﾀ_x0002_???+?⽘_x0015_??饦"/>
      <sheetName val="?:_x0013_?0é0°???? ReQ_x0005_"/>
      <sheetName val=":”_x0013_?0é0°? ReQ_x0005_"/>
      <sheetName val="pfcaドライバ2.2.1インストール"/>
      <sheetName val="pfcaドライバ2.2.1コンフィグ"/>
      <sheetName val="リスト"/>
      <sheetName val="加入者ｽﾃｰﾀ_x0002_"/>
      <sheetName val="加入者属性盻録情報(2.3.1.1.2)"/>
      <sheetName val="新業務機能記述書"/>
      <sheetName val="CS060MPRCSP"/>
      <sheetName val="CS060MPRCPT"/>
      <sheetName val="CS060MPAIRG"/>
      <sheetName val="1.3.6.4.ReturnMonthCmd"/>
      <sheetName val="1.3.6.4.main"/>
      <sheetName val="1.3.6.4._execute"/>
      <sheetName val="加入者ｽﾃｰﾀｽ等 (5.±.2) "/>
      <sheetName val="加入者ｽﾃｰﾀ_x0002_   + ⽘_x0015_  饦"/>
      <sheetName val=" :”_x0013_ 0é0°     ReQ_x0005_"/>
      <sheetName val="加入者ᱞ性(9.2.3)"/>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退職事由等(µ.2.3.2) (2)"/>
      <sheetName val="加入者ｽﾃｰﾀ_x0002__x0000__x0000__x0000_+_x0000___x0015__x0000__x0000__"/>
      <sheetName val=""/>
      <sheetName val=":”_x0013__x0000_0_0°_x0000_ ReQ_x0005_\"/>
      <sheetName val="現行DB一覧2(CT)"/>
      <sheetName val=":”_x0013_"/>
      <sheetName val="加入者属性情報(10.5_5)"/>
      <sheetName val="_”_x0013_"/>
      <sheetName val=" _”_x0013_ 0é0°     ReQ_x0005_"/>
      <sheetName val="加入者ｽﾃｰﾀ_x0002____+_⽘_x0015___饦"/>
      <sheetName val="___x0013__0é0°____ ReQ_x0005_"/>
      <sheetName val="支払完了ｽﾃｰﾀ(5.3.2)"/>
      <sheetName val="退職事由獉(5.2.3.1)"/>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帳票（年個）"/>
      <sheetName val="JOB一覧(共通）"/>
      <sheetName val="運用"/>
      <sheetName val="ﾃｽﾄｹｰｽ一覧"/>
      <sheetName val="_”_x0013__0é0°_ ReQ_x0005_"/>
      <sheetName val="☆データ条件★"/>
      <sheetName val="★データ編集Ⅱ-2-(1)"/>
      <sheetName val="☆B010計算"/>
      <sheetName val="TABLE_DD"/>
      <sheetName val="更新履歴"/>
      <sheetName val="[df一覧hs.xls]_x0000_:_x0013__x0000_0é0°_x0000__x0000__x0000__x0000_ ReQ_x0005_"/>
      <sheetName val="[df一覧hs.xls]:”_x0013__x0000_0é0°_x0000_ ReQ_x0005_"/>
      <sheetName val="チェック表"/>
      <sheetName val="チェック表(月次上)"/>
      <sheetName val="チェック表(月次中)"/>
      <sheetName val="チェック表(月次下)"/>
      <sheetName val="ローン要件情報(加入者）㓌9.1.1)"/>
      <sheetName val="☆B010(A031)振込計算"/>
      <sheetName val="☆★☆ITEM→"/>
      <sheetName val="☆★☆ITEM→ (2)"/>
      <sheetName val="Ｘ　☆★☆計算→"/>
      <sheetName val="人DB給DBﾏｯﾁﾝｸﾞ"/>
      <sheetName val="I_Oﾌｧｲﾙ"/>
      <sheetName val="I_OﾌｧｲﾙＸ"/>
      <sheetName val="原本"/>
      <sheetName val="ﾃｽﾄｹｰｽ一覧(2Ｘ)"/>
      <sheetName val="予算問題点 "/>
      <sheetName val="問題点"/>
      <sheetName val="インプット (2)"/>
      <sheetName val="一覧表"/>
      <sheetName val="１経費台帳"/>
      <sheetName val="２全経費科目集計表"/>
      <sheetName val="３消費税の計算書"/>
      <sheetName val="４経費集計表"/>
      <sheetName val="５製品製造原価報告書"/>
      <sheetName val="６損益計算書"/>
      <sheetName val="７総勘定元帳"/>
      <sheetName val="８試算表"/>
      <sheetName val="人DB給DBﾏｯﾁﾝ堑ㅑ"/>
      <sheetName val="９貸借対照表"/>
      <sheetName val="１０雑収雑損一覧"/>
      <sheetName val="１１関係会社売上仕入一覧表"/>
      <sheetName val="ＪＯＢ単位"/>
      <sheetName val="JOB単位ｹｰｽ一覧"/>
      <sheetName val="ＪＯＢ単位BIPB010"/>
      <sheetName val="ＪＯＢ単位BIPB201"/>
      <sheetName val="ＪＯＢ単位NIPB202"/>
      <sheetName val="ＪＯＢ単位BIPBZ00)"/>
      <sheetName val="サンプル（ＪＯＢ単位）"/>
      <sheetName val="テストデータ"/>
      <sheetName val="プロセス単位"/>
      <sheetName val="ﾌﾟﾛｾｽ単位ｹｰｽ一覧"/>
      <sheetName val="プロセス単位Ｐ４"/>
      <sheetName val="プロセス単位Ｐ１"/>
      <sheetName val="Ｐ１Ｐ４-Ⅱ-(1)"/>
      <sheetName val="Ｐ１Ｐ４-Ⅱ-(2)"/>
      <sheetName val="プロセス単位Ｐ５"/>
      <sheetName val="プロセス単位Ｐ５ (2)"/>
      <sheetName val="Ｐ５Ⅰ-2-2-(1)"/>
      <sheetName val="Ｐ５Ⅰ-2-2-(2)"/>
      <sheetName val="Ｐ５Ⅱ-1-2-(1)"/>
      <sheetName val="Ｐ５Ⅱ-1-1-(3)"/>
      <sheetName val="Ｐ５Ⅱ-(1)"/>
      <sheetName val="Ｐ５Ⅱ-(2)"/>
      <sheetName val="Ｐ５Ⅱ-1-2-(3)"/>
      <sheetName val="Ｐ５Ⅱ-1-7-(2)"/>
      <sheetName val="Ｐ５Ⅱ-1-7-(1)"/>
      <sheetName val="Ｐ５Ⅱ-1-6-(1)"/>
      <sheetName val="Ｐ５Ⅱ-1-5-(1)"/>
      <sheetName val="プロセス単位Ｐ６"/>
      <sheetName val="プロセス間"/>
      <sheetName val="サンプル（プロセス単位）"/>
      <sheetName val="サンプル（プロセス間１）"/>
      <sheetName val="サンプル（プロセス間２）"/>
      <sheetName val="賞与－ＩＴａ"/>
      <sheetName val="サンプル－ＩＴａ"/>
      <sheetName val="ITA"/>
      <sheetName val="トラブル報告書(原本)"/>
      <sheetName val="030トラ報"/>
      <sheetName val="021トラ報"/>
      <sheetName val="019トラ報"/>
      <sheetName val="018トラ報"/>
      <sheetName val="017トラ報"/>
      <sheetName val="015トラ報"/>
      <sheetName val="012トラ報"/>
      <sheetName val="010トラ報"/>
      <sheetName val="007トラ報"/>
      <sheetName val="トラブル報告書記入要領_説明用_トラブル報告書"/>
      <sheetName val="トラブル報告書記入要領"/>
      <sheetName val="トラブル管理手順"/>
      <sheetName val="ﾌﾟﾛｾｽ間ｹｰｽ一覧"/>
      <sheetName val="プロセス間①"/>
      <sheetName val="プロセス間②"/>
      <sheetName val="プロセス間③"/>
      <sheetName val="プロセス間④"/>
      <sheetName val="プロセス間⑤"/>
      <sheetName val="■旧x040525)_BIPG120_Ｐ６作表"/>
      <sheetName val="BIPG130_電子帳票"/>
      <sheetName val="【補足1】"/>
      <sheetName val="■旧～0617)_JOBｸﾞﾙｰﾌﾟﾌﾛｰ"/>
      <sheetName val="BIPG110_Ｐ３加工～"/>
      <sheetName val="■旧)BIPG110_Ｐ３加工"/>
      <sheetName val="NIPG910_カード戻し"/>
      <sheetName val="NIPG920_引継F戻し"/>
      <sheetName val="ྪ_x0004_Ѐ_x0000_"/>
      <sheetName val="#REF"/>
      <sheetName val="人DB給DBﾏｯﾁﾝ/_x0000_"/>
      <sheetName val="設定値"/>
      <sheetName val="変更管理シ԰_x0000_"/>
      <sheetName val="ローン要件情報(加入者）⻌9.1.1)"/>
      <sheetName val=":0_x0000_"/>
      <sheetName val=":”_x0000_"/>
      <sheetName val=":”鞸"/>
      <sheetName val=":”閨"/>
      <sheetName val=":”僈"/>
      <sheetName val=":”䡲"/>
      <sheetName val=":쐄ꁣ"/>
      <sheetName val="改訂履歴 "/>
      <sheetName val="１．目的と背景"/>
      <sheetName val="２．概要（全体流れ）"/>
      <sheetName val="３．影響範囲"/>
      <sheetName val="４．手順説明"/>
      <sheetName val="５．補足事項"/>
      <sheetName val="&gt;&gt;添付資料(サンプル)"/>
      <sheetName val="オンラインデータ集計"/>
      <sheetName val="バッチデータ集計"/>
      <sheetName val="総レコード数推移"/>
      <sheetName val="&gt;&gt;チェックシート"/>
      <sheetName val="（添付）詳細手順＆チェック（１）"/>
      <sheetName val="（添付）詳細手順＆チェック（２）"/>
      <sheetName val="（添付）詳細手順＆チェック（３）"/>
      <sheetName val=":쐂끣"/>
      <sheetName val=":쐊끣"/>
      <sheetName val=":”衈"/>
      <sheetName val=":”揄"/>
      <sheetName val=":”䱈"/>
      <sheetName val=":”丨"/>
      <sheetName val=":”先"/>
      <sheetName val=":”䭨"/>
      <sheetName val=":扇"/>
      <sheetName val=":쀀⒈"/>
      <sheetName val=":/_x0000_"/>
      <sheetName val=":㠀聮"/>
      <sheetName val=":쐓㵣"/>
      <sheetName val=":”虘"/>
      <sheetName val=":”熨"/>
      <sheetName val=":”倈"/>
      <sheetName val=":”倸"/>
      <sheetName val=":㠓⾕"/>
      <sheetName val=":㠙⾕"/>
      <sheetName val=":”䮈"/>
      <sheetName val="変更管理シ쐃녣"/>
      <sheetName val="変更管理シ/_x0000_"/>
      <sheetName val="変更管理シ쐅"/>
      <sheetName val="変更管理シ쐂"/>
      <sheetName val="変更管理シ쐈"/>
      <sheetName val=":쐋幣"/>
      <sheetName val=":䠙㑍"/>
      <sheetName val=":쐊橣"/>
      <sheetName val=":쐅ᡣ"/>
      <sheetName val=":⠅♌"/>
      <sheetName val=":項⹋"/>
      <sheetName val=":ࠅ㭏"/>
      <sheetName val=":ࠅ㽐"/>
      <sheetName val=":쐆ᑣ"/>
      <sheetName val="JOB一覧0_x0000_蠀¨"/>
      <sheetName val=":䠇㞑"/>
      <sheetName val="マスタ"/>
      <sheetName val="設定"/>
      <sheetName val="_REF"/>
      <sheetName val="コールトラック"/>
      <sheetName val="ナレッジ"/>
      <sheetName val="para"/>
      <sheetName val=":”亘"/>
      <sheetName val="変更管理シ0_x0000_"/>
      <sheetName val="BIPG120__x0005__x0000__x0000__x0000_"/>
      <sheetName val=":”㍈"/>
      <sheetName val="JOB一覧䠕ℳ"/>
      <sheetName val=":”旉"/>
      <sheetName val="変更管理シ밁쵤"/>
      <sheetName val=":”㙘"/>
      <sheetName val=":”敧"/>
      <sheetName val=":”䲨"/>
      <sheetName val=":”䱨"/>
      <sheetName val=":”䳸"/>
      <sheetName val=":”镘"/>
      <sheetName val="社員リスト"/>
      <sheetName val=":”提"/>
      <sheetName val=":”壆"/>
      <sheetName val="JOB一覧/_x0000_䠀c"/>
      <sheetName val="JOB一覧䠏᜴瀀튰"/>
      <sheetName val="JOB一覧⠖␴㠀﬷"/>
      <sheetName val="JOB一覧옇Ꝙ/_x0000_"/>
      <sheetName val="JOB一覧옅Ꝙ/_x0000_"/>
      <sheetName val=":”_x0005_"/>
      <sheetName val=":”凸"/>
      <sheetName val="JOB一覧朁ﱥ/_x0000_"/>
      <sheetName val=":”凘"/>
      <sheetName val=":”_x0010_"/>
      <sheetName val=":”偸"/>
      <sheetName val=":”䳘"/>
      <sheetName val="JOB一覧朁ብ0_x0000_"/>
      <sheetName val="JOB一覧ⴄ䅥0_x0000_"/>
      <sheetName val="JOB一覧옆/_x0000_"/>
      <sheetName val="JOB一覧옇/_x0000_"/>
      <sheetName val="JOB一覧옓遘/_x0000_"/>
      <sheetName val="旧031114)BIPG120ꠖ‸堀融脂"/>
      <sheetName val=":”铨"/>
      <sheetName val=":젗░"/>
      <sheetName val="df一覧hs"/>
      <sheetName val=":”旀"/>
      <sheetName val="環境変数1"/>
      <sheetName val=":줂셥"/>
      <sheetName val=":줈띥"/>
      <sheetName val=":줄띥"/>
      <sheetName val=":쐌督"/>
      <sheetName val="改訂履歴"/>
      <sheetName val="（旧）更新履歴"/>
      <sheetName val="C05-30メッセージ一覧"/>
      <sheetName val="目次・業 "/>
      <sheetName val="目次・業⠓"/>
      <sheetName val="目次・業/"/>
      <sheetName val="[df一覧hs.xls] :”_x0013_ 0é0°     ReQ_x0005_"/>
      <sheetName val="[df一覧hs.xls]:”_x0013__x0000_0_0°_x0000_ ReQ_x0005_\"/>
      <sheetName val="[df一覧hs.xls]:”_x0013_"/>
      <sheetName val="[df一覧hs.xls]人DB給DBﾏｯﾁﾝ/_x0000_"/>
      <sheetName val="[df一覧hs.xls]:0_x0000_"/>
      <sheetName val="[df一覧hs.xls]:”_x0000_"/>
      <sheetName val="[df一覧hs.xls]:”鞸"/>
      <sheetName val="[df一覧hs.xls]:”閨"/>
      <sheetName val="[df一覧hs.xls]:”僈"/>
      <sheetName val="[df一覧hs.xls]:”䡲"/>
      <sheetName val="[df一覧hs.xls]:쐄ꁣ"/>
      <sheetName val="[df一覧hs.xls]:쐂끣"/>
      <sheetName val="[df一覧hs.xls]:쐊끣"/>
      <sheetName val="[df一覧hs.xls]:”衈"/>
      <sheetName val="[df一覧hs.xls]:”揄"/>
      <sheetName val="[df一覧hs.xls]:”䱈"/>
      <sheetName val="[df一覧hs.xls]:”丨"/>
      <sheetName val="[df一覧hs.xls]:”先"/>
      <sheetName val="[df一覧hs.xls]:”䭨"/>
      <sheetName val="[df一覧hs.xls]:扇"/>
      <sheetName val="[df一覧hs.xls]:쀀⒈"/>
      <sheetName val="[df一覧hs.xls]:/_x0000_"/>
      <sheetName val="[df一覧hs.xls]:㠀聮"/>
      <sheetName val="[df一覧hs.xls]:쐓㵣"/>
      <sheetName val="[df一覧hs.xls]:”虘"/>
      <sheetName val="[df一覧hs.xls]:”熨"/>
      <sheetName val="[df一覧hs.xls]:”倈"/>
      <sheetName val="[df一覧hs.xls]:”倸"/>
      <sheetName val="[df一覧hs.xls]:㠓⾕"/>
      <sheetName val="[df一覧hs.xls]:㠙⾕"/>
      <sheetName val="[df一覧hs.xls]:”䮈"/>
      <sheetName val="[df一覧hs.xls]変更管理シ/_x0000_"/>
      <sheetName val="[df一覧hs.xls]:쐋幣"/>
      <sheetName val="[df一覧hs.xls]:䠙㑍"/>
      <sheetName val="[df一覧hs.xls]:쐊橣"/>
      <sheetName val="[df一覧hs.xls]:쐅ᡣ"/>
      <sheetName val="[df一覧hs.xls]:⠅♌"/>
      <sheetName val="[df一覧hs.xls]:項⹋"/>
      <sheetName val="[df一覧hs.xls]:ࠅ㭏"/>
      <sheetName val="[df一覧hs.xls]:ࠅ㽐"/>
      <sheetName val="[df一覧hs.xls]:쐆ᑣ"/>
      <sheetName val="[df一覧hs.xls]:䠇㞑"/>
      <sheetName val="[df一覧hs.xls]:”亘"/>
      <sheetName val="[df一覧hs.xls]:”㍈"/>
      <sheetName val="[df一覧hs.xls]:”旉"/>
      <sheetName val="[df一覧hs.xls]:”㙘"/>
      <sheetName val="[df一覧hs.xls]:”敧"/>
      <sheetName val="[df一覧hs.xls]:”䲨"/>
      <sheetName val="[df一覧hs.xls]:”䱨"/>
      <sheetName val="[df一覧hs.xls]:”䳸"/>
      <sheetName val="[df一覧hs.xls]:”镘"/>
      <sheetName val="[df一覧hs.xls]:”提"/>
      <sheetName val="[df一覧hs.xls]:”壆"/>
      <sheetName val="[df一覧hs.xls]JOB一覧/_x0000_䠀c"/>
      <sheetName val="[df一覧hs.xls]JOB一覧옇Ꝙ/_x0000_"/>
      <sheetName val="[df一覧hs.xls]JOB一覧옅Ꝙ/_x0000_"/>
      <sheetName val="[df一覧hs.xls]:”_x0005_"/>
      <sheetName val="[df一覧hs.xls]:”凸"/>
      <sheetName val="[df一覧hs.xls]JOB一覧朁ﱥ/_x0000_"/>
      <sheetName val="[df一覧hs.xls]:”凘"/>
      <sheetName val="[df一覧hs.xls]:”_x0010_"/>
      <sheetName val="[df一覧hs.xls]:”偸"/>
      <sheetName val="[df一覧hs.xls]:”䳘"/>
      <sheetName val="[df一覧hs.xls]JOB一覧옆/_x0000_"/>
      <sheetName val="[df一覧hs.xls]JOB一覧옇/_x0000_"/>
      <sheetName val="[df一覧hs.xls]JOB一覧옓遘/_x0000_"/>
      <sheetName val="[df一覧hs.xls]:”铨"/>
      <sheetName val="[df一覧hs.xls]:젗░"/>
      <sheetName val="[df一覧hs.xls]:”旀"/>
      <sheetName val="[df一覧hs.xls]:줂셥"/>
      <sheetName val="[df一覧hs.xls]:줈띥"/>
      <sheetName val="[df一覧hs.xls]:줄띥"/>
      <sheetName val="[df一覧hs.xls]:쐌督"/>
      <sheetName val="[df一覧hs.xls]目次・業/"/>
      <sheetName val="[df一覧hs.xls]?:_x0013_?0é0°???? ReQ_x0005_"/>
      <sheetName val="[df一覧hs.xls]:”_x0013_?0é0°? ReQ_x0005_"/>
      <sheetName val="JOB一覧0_x0000_怀$"/>
      <sheetName val="旧031114)BIPG120闈4꼘ા暁"/>
      <sheetName val="旧031114)BIPG120_x0000__x0000_縸_x0000__x0000_"/>
      <sheetName val=":”鈨"/>
      <sheetName val=":”㌸"/>
      <sheetName val="JOB一覧朄/_x0000_"/>
      <sheetName val="JOB一覧會/_x0000_"/>
      <sheetName val="JOB一覧朂/_x0000_"/>
      <sheetName val=":”勘"/>
      <sheetName val=":”鏨"/>
      <sheetName val=":”烨"/>
      <sheetName val="旧031114)BIPG120挢⾔_x0000__x0000_젘"/>
      <sheetName val="Sheet5"/>
      <sheetName val=":”㛘"/>
      <sheetName val=":”槜"/>
      <sheetName val=":”䀀"/>
      <sheetName val=":”ᬨ"/>
      <sheetName val=":”蕀"/>
      <sheetName val=":”業"/>
      <sheetName val=":”枵"/>
      <sheetName val=":”暷"/>
      <sheetName val=":”㑨"/>
      <sheetName val=":”湸"/>
      <sheetName val=":”Ṉ"/>
      <sheetName val="ローン要件情報(加入者）⻌9.1.䠕⸞"/>
      <sheetName val="変更管理シ䠓⸞"/>
      <sheetName val="ローン要件情報(加入者）⻌9.1.䠓⸞"/>
      <sheetName val=":”‸"/>
      <sheetName val=":”᱘"/>
      <sheetName val="変更管理シ堓⸜"/>
      <sheetName val=":”ᡨ"/>
      <sheetName val=":”䷈"/>
      <sheetName val="変更管理シ퀊գ"/>
      <sheetName val=":”㚨"/>
      <sheetName val=":”攭"/>
      <sheetName val=":”㠈"/>
      <sheetName val=":”╸"/>
      <sheetName val=":”↘"/>
      <sheetName val="ローン要件情報(加入者）⻌9.1.頟ᐡ"/>
      <sheetName val="ローン要件情報(加入者）⻌9.1.頝ᐡ"/>
      <sheetName val="変更管理シ頝ᐡ"/>
      <sheetName val=":”⎈"/>
      <sheetName val=":”ᶨ"/>
      <sheetName val=":”ᾨ"/>
      <sheetName val="変更管理シꠝᐟ"/>
      <sheetName val=":”᮸"/>
      <sheetName val=":”ᧈ"/>
      <sheetName val="変更管理シ頟ᐡ"/>
      <sheetName val="変更管理シꠟᐟ"/>
      <sheetName val="変更管理シ堵⸜"/>
      <sheetName val="変更管理シ䠥⸞"/>
      <sheetName val="変更管理シ堄⸜"/>
      <sheetName val="変更管理シ䠄⸞"/>
      <sheetName val=":”⁸"/>
      <sheetName val=":”≨"/>
      <sheetName val="変更管理シ栛⌢"/>
      <sheetName val=":”Ẉ"/>
      <sheetName val="変更管理シ校⌢"/>
      <sheetName val="変更管理シ栜⌢"/>
      <sheetName val=":”痨"/>
      <sheetName val=":”枻"/>
      <sheetName val=":”㕘"/>
      <sheetName val=":”㓨"/>
      <sheetName val=":”㣘"/>
      <sheetName val=":”㚘"/>
      <sheetName val=":”㧨"/>
      <sheetName val=":”㋨"/>
      <sheetName val=":”⁘"/>
      <sheetName val=":”㍨"/>
      <sheetName val=":”㩨"/>
      <sheetName val=":”氚"/>
      <sheetName val=":”㞨"/>
      <sheetName val=":”濈"/>
      <sheetName val=":”㐨"/>
      <sheetName val=":”㔨"/>
      <sheetName val=":”㟈"/>
      <sheetName val=":”㕈"/>
      <sheetName val=":”㜸"/>
      <sheetName val=":”爈"/>
      <sheetName val=":”阨"/>
      <sheetName val=":”鐨"/>
      <sheetName val=":”鈸"/>
      <sheetName val=":”㢨"/>
      <sheetName val=":”遘"/>
      <sheetName val=":”蹨"/>
      <sheetName val=":”豸"/>
      <sheetName val=":”詸"/>
      <sheetName val="変更管理シ砕㺊"/>
      <sheetName val=":”溘"/>
      <sheetName val=":”㗘"/>
      <sheetName val=":”洕"/>
      <sheetName val=":”鏈"/>
      <sheetName val=":”釘"/>
      <sheetName val=":”迨"/>
      <sheetName val=":”㤸"/>
      <sheetName val=":”㏸"/>
      <sheetName val="変更管理シ뜊큦"/>
      <sheetName val=":”㎘"/>
      <sheetName val=":”贸"/>
      <sheetName val=":”襘"/>
      <sheetName val=":”譈"/>
      <sheetName val="変更管理シ䠚⊋"/>
      <sheetName val=":”蝘"/>
      <sheetName val=":”蕨"/>
      <sheetName val="変更管理シ㠓⊍"/>
      <sheetName val=":”㣈"/>
      <sheetName val=":”ↈ"/>
      <sheetName val=":”ᶘ"/>
      <sheetName val=":”ᾈ"/>
      <sheetName val="変更管理シ蠒ᘟ"/>
      <sheetName val=":”ᮨ"/>
      <sheetName val=":”ᦸ"/>
      <sheetName val="変更管理シ蠒ᘡ"/>
      <sheetName val="変更管理シ蠗ᘟ"/>
      <sheetName val="変更管理シ蠗ᘡ"/>
      <sheetName val="変更管理シ蠙ᘟ"/>
      <sheetName val="変更管理シ蠔ᘡ"/>
      <sheetName val=":”㘨"/>
      <sheetName val=":”㖘"/>
      <sheetName val=":”㝨"/>
      <sheetName val="List"/>
      <sheetName val=":”㊘"/>
      <sheetName val=":”㔸"/>
      <sheetName val="[df一覧hs.xls]:”鈨"/>
      <sheetName val="[df一覧hs.xls]:”㌸"/>
      <sheetName val="[df一覧hs.xls]JOB一覧朄/_x0000_"/>
      <sheetName val="[df一覧hs.xls]JOB一覧會/_x0000_"/>
      <sheetName val="[df一覧hs.xls]JOB一覧朂/_x0000_"/>
      <sheetName val="[df一覧hs.xls]:”勘"/>
      <sheetName val="[df一覧hs.xls]:”鏨"/>
      <sheetName val="[df一覧hs.xls]:”烨"/>
      <sheetName val="[df一覧hs.xls]:”㛘"/>
      <sheetName val="[df一覧hs.xls]:”槜"/>
      <sheetName val="[df一覧hs.xls]:”䀀"/>
      <sheetName val="[df一覧hs.xls]:”ᬨ"/>
      <sheetName val="[df一覧hs.xls]:”蕀"/>
      <sheetName val="[df一覧hs.xls]:”業"/>
      <sheetName val="[df一覧hs.xls]:”枵"/>
      <sheetName val="[df一覧hs.xls]:”暷"/>
      <sheetName val="[df一覧hs.xls]:”㑨"/>
      <sheetName val="[df一覧hs.xls]:”湸"/>
      <sheetName val="[df一覧hs.xls]:”Ṉ"/>
      <sheetName val="[df一覧hs.xls]:”‸"/>
      <sheetName val="[df一覧hs.xls]:”᱘"/>
      <sheetName val="[df一覧hs.xls]:”ᡨ"/>
      <sheetName val="[df一覧hs.xls]:”䷈"/>
      <sheetName val="[df一覧hs.xls]:”㚨"/>
      <sheetName val="[df一覧hs.xls]:”攭"/>
      <sheetName val="[df一覧hs.xls]:”㠈"/>
      <sheetName val="[df一覧hs.xls]:”╸"/>
      <sheetName val="[df一覧hs.xls]:”↘"/>
      <sheetName val="[df一覧hs.xls]:”⎈"/>
      <sheetName val="[df一覧hs.xls]:”ᶨ"/>
      <sheetName val="[df一覧hs.xls]:”ᾨ"/>
      <sheetName val="[df一覧hs.xls]:”᮸"/>
      <sheetName val="[df一覧hs.xls]:”ᧈ"/>
      <sheetName val="[df一覧hs.xls]:”⁸"/>
      <sheetName val="[df一覧hs.xls]:”≨"/>
      <sheetName val="[df一覧hs.xls]:”Ẉ"/>
      <sheetName val="[df一覧hs.xls]:”痨"/>
      <sheetName val="[df一覧hs.xls]:”枻"/>
      <sheetName val="[df一覧hs.xls]:”㕘"/>
      <sheetName val="[df一覧hs.xls]:”㓨"/>
      <sheetName val="[df一覧hs.xls]:”㣘"/>
      <sheetName val="[df一覧hs.xls]:”㚘"/>
      <sheetName val="[df一覧hs.xls]:”㧨"/>
      <sheetName val="[df一覧hs.xls]:”㋨"/>
      <sheetName val="[df一覧hs.xls]:”⁘"/>
      <sheetName val="[df一覧hs.xls]:”㍨"/>
      <sheetName val="[df一覧hs.xls]:”㩨"/>
      <sheetName val="[df一覧hs.xls]:”氚"/>
      <sheetName val="[df一覧hs.xls]:”㞨"/>
      <sheetName val="[df一覧hs.xls]:”濈"/>
      <sheetName val="[df一覧hs.xls]:”㐨"/>
      <sheetName val="[df一覧hs.xls]:”㔨"/>
      <sheetName val="[df一覧hs.xls]:”㟈"/>
      <sheetName val="[df一覧hs.xls]:”㕈"/>
      <sheetName val="[df一覧hs.xls]:”㜸"/>
      <sheetName val="[df一覧hs.xls]:”爈"/>
      <sheetName val="[df一覧hs.xls]:”阨"/>
      <sheetName val="[df一覧hs.xls]:”鐨"/>
      <sheetName val="[df一覧hs.xls]:”鈸"/>
      <sheetName val="[df一覧hs.xls]:”㢨"/>
      <sheetName val="[df一覧hs.xls]:”遘"/>
      <sheetName val="[df一覧hs.xls]:”蹨"/>
      <sheetName val="[df一覧hs.xls]:”豸"/>
      <sheetName val="[df一覧hs.xls]:”詸"/>
      <sheetName val="[df一覧hs.xls]:”溘"/>
      <sheetName val="[df一覧hs.xls]:”㗘"/>
      <sheetName val="[df一覧hs.xls]:”洕"/>
      <sheetName val="[df一覧hs.xls]:”鏈"/>
      <sheetName val="[df一覧hs.xls]:”釘"/>
      <sheetName val="[df一覧hs.xls]:”迨"/>
      <sheetName val="[df一覧hs.xls]:”㤸"/>
      <sheetName val="[df一覧hs.xls]:”㏸"/>
      <sheetName val="[df一覧hs.xls]:”㎘"/>
      <sheetName val="[df一覧hs.xls]:”贸"/>
      <sheetName val="[df一覧hs.xls]:”襘"/>
      <sheetName val="[df一覧hs.xls]:”譈"/>
      <sheetName val="[df一覧hs.xls]:”蝘"/>
      <sheetName val="[df一覧hs.xls]:”蕨"/>
      <sheetName val="[df一覧hs.xls]:”㣈"/>
      <sheetName val="[df一覧hs.xls]:”ↈ"/>
      <sheetName val="[df一覧hs.xls]:”ᶘ"/>
      <sheetName val="[df一覧hs.xls]:”ᾈ"/>
      <sheetName val="[df一覧hs.xls]:”ᮨ"/>
      <sheetName val="[df一覧hs.xls]:”ᦸ"/>
      <sheetName val="[df一覧hs.xls]:”㘨"/>
      <sheetName val="[df一覧hs.xls]:”㖘"/>
      <sheetName val="[df一覧hs.xls]:”㝨"/>
      <sheetName val="[df一覧hs.xls]:”㊘"/>
      <sheetName val="[df一覧hs.xls]:”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refreshError="1"/>
      <sheetData sheetId="240" refreshError="1"/>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sheetData sheetId="310" refreshError="1"/>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マスタシート"/>
      <sheetName val="フォーマット変更履歴"/>
      <sheetName val="変更履歴"/>
      <sheetName val="ジョブ_機能定義"/>
      <sheetName val="処理フロー"/>
      <sheetName val="処理詳細(送信ファイル作成メイン)"/>
      <sheetName val="入力チェック(送信ファイル作成メイン)"/>
      <sheetName val="SQL(送信ファイル作成メイン)"/>
      <sheetName val="処理詳細(商品情報送信対象決定)"/>
      <sheetName val="SQL(商品情報送信対象決定)"/>
      <sheetName val="処理詳細(画像情報送信対象決定)"/>
      <sheetName val="SQL(画像情報送信対象決定)"/>
      <sheetName val="項目編集仕様"/>
      <sheetName val="補足（ファイル入力チェック）"/>
      <sheetName val="補足 (2)"/>
    </sheetNames>
    <sheetDataSet>
      <sheetData sheetId="0"/>
      <sheetData sheetId="1">
        <row r="3">
          <cell r="B3" t="str">
            <v>日次バッチ</v>
          </cell>
          <cell r="F3" t="str">
            <v>DB</v>
          </cell>
          <cell r="J3" t="str">
            <v>JS</v>
          </cell>
          <cell r="L3" t="str">
            <v>confirm</v>
          </cell>
        </row>
        <row r="4">
          <cell r="B4" t="str">
            <v>月次バッチ</v>
          </cell>
          <cell r="F4" t="str">
            <v>FILE</v>
          </cell>
          <cell r="J4" t="str">
            <v>EJB</v>
          </cell>
          <cell r="L4" t="str">
            <v>warning</v>
          </cell>
        </row>
        <row r="5">
          <cell r="B5" t="str">
            <v>年次バッチ</v>
          </cell>
          <cell r="J5" t="str">
            <v>Server</v>
          </cell>
          <cell r="L5" t="str">
            <v>error</v>
          </cell>
        </row>
        <row r="6">
          <cell r="B6" t="str">
            <v>随時バッチ</v>
          </cell>
          <cell r="J6" t="str">
            <v>Client</v>
          </cell>
        </row>
        <row r="7">
          <cell r="B7" t="str">
            <v>DOバッチ</v>
          </cell>
        </row>
        <row r="8">
          <cell r="B8" t="str">
            <v>オン中バッチ</v>
          </cell>
        </row>
      </sheetData>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手001"/>
    </sheetNames>
    <definedNames>
      <definedName name="finish"/>
      <definedName name="PrintForm"/>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全体フロー"/>
      <sheetName val=" "/>
      <sheetName val="変更日程計画表"/>
      <sheetName val="変更計画確認書"/>
      <sheetName val="変更内容(為替換算調整１・連結PKG)"/>
      <sheetName val="変更内容(CF組替後レート換算)"/>
      <sheetName val="変更内容(為替差額仕訳)"/>
      <sheetName val="変更内容(為替換算調整１・修正伝票)"/>
      <sheetName val="テスト計画確認書"/>
      <sheetName val="TB変更登録手順"/>
      <sheetName val="変更手順書"/>
      <sheetName val="本番化（モジュール）"/>
      <sheetName val="本番化（マスタ）"/>
    </sheetNames>
    <sheetDataSet>
      <sheetData sheetId="0"/>
      <sheetData sheetId="1"/>
      <sheetData sheetId="2" refreshError="1">
        <row r="2">
          <cell r="J2" t="str">
            <v>CDP_20100709</v>
          </cell>
        </row>
        <row r="3">
          <cell r="J3" t="str">
            <v>CDP</v>
          </cell>
          <cell r="L3" t="str">
            <v>連結会計システム</v>
          </cell>
        </row>
        <row r="4">
          <cell r="C4" t="str">
            <v>複数レート対応</v>
          </cell>
          <cell r="J4" t="str">
            <v>世の中一般的にPLの期中平均レート採用がメジャーとなっている事を鑑みて、制度会計の期中平均レート対応を実施。</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２"/>
      <sheetName val="Sheet1"/>
      <sheetName val="Sheet2"/>
      <sheetName val="Sheet3"/>
      <sheetName val="ＷＢＳデータ"/>
      <sheetName val="個別商品予算"/>
      <sheetName val="tmp"/>
      <sheetName val="ｉＴ２要員計画（黒）"/>
    </sheetNames>
    <sheetDataSet>
      <sheetData sheetId="0" refreshError="1">
        <row r="1">
          <cell r="AP1" t="str">
            <v>作成日　：１９９９/７/２２</v>
          </cell>
        </row>
        <row r="2">
          <cell r="AP2" t="str">
            <v>作成者　：田辺　利行</v>
          </cell>
        </row>
        <row r="4">
          <cell r="C4" t="str">
            <v>ＮＯ</v>
          </cell>
          <cell r="D4" t="str">
            <v>サマリー</v>
          </cell>
          <cell r="E4" t="str">
            <v>WBS</v>
          </cell>
          <cell r="F4" t="str">
            <v>作業名</v>
          </cell>
          <cell r="H4" t="str">
            <v>タスク</v>
          </cell>
          <cell r="I4" t="str">
            <v>予定作業計数</v>
          </cell>
          <cell r="J4" t="str">
            <v>見積</v>
          </cell>
          <cell r="K4" t="str">
            <v>ノルマ／日</v>
          </cell>
          <cell r="L4" t="str">
            <v>投入</v>
          </cell>
          <cell r="M4" t="str">
            <v>要員</v>
          </cell>
          <cell r="N4" t="str">
            <v>９８年</v>
          </cell>
          <cell r="O4" t="str">
            <v>９８年</v>
          </cell>
          <cell r="P4" t="str">
            <v>９８年</v>
          </cell>
          <cell r="Q4" t="str">
            <v>９９年</v>
          </cell>
          <cell r="S4" t="str">
            <v>９９年</v>
          </cell>
          <cell r="U4" t="str">
            <v>９９年</v>
          </cell>
          <cell r="W4" t="str">
            <v>９９年</v>
          </cell>
          <cell r="Y4" t="str">
            <v>９９年</v>
          </cell>
          <cell r="AA4" t="str">
            <v>９９年</v>
          </cell>
          <cell r="AC4" t="str">
            <v>００年</v>
          </cell>
          <cell r="AE4" t="str">
            <v>００年</v>
          </cell>
          <cell r="AG4" t="str">
            <v>００年</v>
          </cell>
          <cell r="AI4" t="str">
            <v>００年</v>
          </cell>
          <cell r="AK4" t="str">
            <v>００年</v>
          </cell>
          <cell r="AM4" t="str">
            <v>００年</v>
          </cell>
          <cell r="AP4" t="str">
            <v>備考</v>
          </cell>
        </row>
        <row r="5">
          <cell r="D5" t="str">
            <v>タスク名</v>
          </cell>
          <cell r="J5" t="str">
            <v>工数(人日)</v>
          </cell>
          <cell r="L5" t="str">
            <v>予定(人月)</v>
          </cell>
          <cell r="N5" t="str">
            <v>　４</v>
          </cell>
          <cell r="O5" t="str">
            <v>　５</v>
          </cell>
          <cell r="P5" t="str">
            <v>　６</v>
          </cell>
          <cell r="Q5" t="str">
            <v>　７</v>
          </cell>
          <cell r="S5" t="str">
            <v>　８</v>
          </cell>
          <cell r="U5" t="str">
            <v>　９</v>
          </cell>
          <cell r="W5" t="str">
            <v>　１０</v>
          </cell>
          <cell r="Y5" t="str">
            <v>　１１</v>
          </cell>
          <cell r="AA5" t="str">
            <v>　１２</v>
          </cell>
          <cell r="AC5" t="str">
            <v>　１</v>
          </cell>
          <cell r="AE5" t="str">
            <v>　２</v>
          </cell>
          <cell r="AG5" t="str">
            <v>　３</v>
          </cell>
          <cell r="AI5" t="str">
            <v>　４</v>
          </cell>
          <cell r="AK5" t="str">
            <v>　５</v>
          </cell>
          <cell r="AM5" t="str">
            <v>　６</v>
          </cell>
          <cell r="AO5" t="str">
            <v>状態</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訂履歴"/>
      <sheetName val="総括"/>
      <sheetName val="各一覧表へ"/>
      <sheetName val="マスター一覧表"/>
      <sheetName val="麦種(ICR010TB)"/>
      <sheetName val="樽種容量区分_1桁目(ICR020TB)"/>
      <sheetName val="樽種新旧区分_2桁目(ICR030TB)"/>
      <sheetName val="樽種材料区分_3桁目(ICR040TB)"/>
      <sheetName val="樽種セリー区分_4桁目(ICR050TB)"/>
      <sheetName val="樽・不良項目(ICR060TB)"/>
      <sheetName val="比重(ICR070TB)"/>
      <sheetName val="SJ品目決定(ICR080TB)"/>
      <sheetName val="パターン決定テーブル(ICR090TB)"/>
      <sheetName val="採番管理基本(ICR100TB)"/>
      <sheetName val="採番管理明細(ICR105TB)"/>
      <sheetName val="IC管轄受払先(ICR110TB)"/>
      <sheetName val="蒸留工場(ICR120TB)"/>
      <sheetName val="保税品目(ICR130TB)"/>
      <sheetName val="欠減率情報(ICR150TB)"/>
      <sheetName val="レーン情報(ICR160TB)"/>
      <sheetName val="受払場所チェックテーブル（ICR170TB）"/>
      <sheetName val="区分値テーブル（ICR180TB）"/>
      <sheetName val="課税サンプル（ICR190TB）"/>
      <sheetName val="計装連携におけるメール送付先（ICR200TB）"/>
      <sheetName val="アルコール度数(ICR210TB)"/>
      <sheetName val="樽種5桁目(ICR220TB)"/>
      <sheetName val="分析事績簿出力指示(ICR230TB)"/>
      <sheetName val="品種マスター(ICR240TB)"/>
      <sheetName val="メーカーコード(ICR250TB)"/>
      <sheetName val="品種分類(ICR260TB)"/>
      <sheetName val="樽種分類(ICR270TB)"/>
      <sheetName val="原酒分類(ICR280TB)"/>
      <sheetName val="ICユーザーIDテーブル(ICR500TB)"/>
      <sheetName val="セキュリティグループテーブル(ICR510TB)"/>
      <sheetName val="メニュー用プログラムテーブル(ICR520TB)"/>
      <sheetName val="タンクマスター基本情報(MJY100TB)"/>
      <sheetName val="タンクマスター定点値情報(MJY110TB)"/>
      <sheetName val="タンクマスター 寸法→容量算出方法"/>
      <sheetName val="樽一覧表"/>
      <sheetName val="ica100tb"/>
      <sheetName val="ica110tb"/>
      <sheetName val="ica200tb"/>
      <sheetName val="ica210tb"/>
      <sheetName val="ica300tb"/>
      <sheetName val="icb100tb"/>
      <sheetName val="icb110tb"/>
      <sheetName val="icb120tb"/>
      <sheetName val="icb130tb"/>
      <sheetName val="icb200tb"/>
      <sheetName val="icb300tb"/>
      <sheetName val="icb400tb"/>
      <sheetName val="icb410tb"/>
      <sheetName val="icb420tb"/>
      <sheetName val="icb500tb"/>
      <sheetName val="icb600tb"/>
      <sheetName val="icc100tb"/>
      <sheetName val="icc110tb"/>
      <sheetName val="icg100tb"/>
      <sheetName val="icg110tb"/>
      <sheetName val="icg120tb"/>
      <sheetName val="icg130tb"/>
      <sheetName val="icg140tb"/>
      <sheetName val="icg200tb"/>
      <sheetName val="icg300tb"/>
      <sheetName val="icg400tb"/>
      <sheetName val="ich100tb"/>
      <sheetName val="icl100tb"/>
      <sheetName val="icl110tb"/>
      <sheetName val="icl200tb"/>
      <sheetName val="icl300tb"/>
      <sheetName val="icl500tb"/>
      <sheetName val="icl600tb"/>
      <sheetName val="icl900tb"/>
      <sheetName val="icm010tb"/>
      <sheetName val="icp100tb"/>
      <sheetName val="icp110tb"/>
      <sheetName val="icp200tb"/>
      <sheetName val="icp210tb"/>
      <sheetName val="icv100tb"/>
      <sheetName val="icv110tb"/>
      <sheetName val="icd200tb"/>
      <sheetName val="icd210tb"/>
      <sheetName val="タンク一覧表"/>
      <sheetName val="icf100tb"/>
      <sheetName val="icf200tb"/>
      <sheetName val="ick100tb保税受払"/>
      <sheetName val="icf210tb支払伝票"/>
      <sheetName val="icf220tb受入伝票"/>
      <sheetName val="icf230tb受入予定伝票"/>
      <sheetName val="icf240tb生産実績"/>
      <sheetName val="icf250tbタンク更新履歴"/>
      <sheetName val="icf300tbタンクアクセステーブル"/>
      <sheetName val="icd100tb汎用検索"/>
      <sheetName val="icd110tb汎用検索2"/>
      <sheetName val="ＯＲＡＣＬＥ　レイアウト"/>
      <sheetName val="ｲﾝﾌﾟｯﾄ用"/>
      <sheetName val="印刷用"/>
      <sheetName val="tmp"/>
      <sheetName val="#REF"/>
      <sheetName val="個別商品予算"/>
      <sheetName val="チャネル別売上数量"/>
      <sheetName val="タンクマスター_寸法→容量算出方法"/>
      <sheetName val="LOOKUPWK"/>
      <sheetName val="部門毎導入比率"/>
      <sheetName val="タンクマスター_寸法→容量算出方法1"/>
      <sheetName val="タンクマスター_寸法→容量算出方法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row r="7">
          <cell r="A7" t="str">
            <v>受払場所</v>
          </cell>
        </row>
        <row r="8">
          <cell r="A8" t="str">
            <v>タンクＮＯ</v>
          </cell>
        </row>
        <row r="9">
          <cell r="A9" t="str">
            <v>品目</v>
          </cell>
        </row>
        <row r="10">
          <cell r="A10" t="str">
            <v>備考</v>
          </cell>
        </row>
        <row r="11">
          <cell r="A11" t="str">
            <v>用途</v>
          </cell>
        </row>
        <row r="12">
          <cell r="A12" t="str">
            <v>自製保税区分</v>
          </cell>
        </row>
        <row r="13">
          <cell r="A13" t="str">
            <v>底板区分</v>
          </cell>
        </row>
        <row r="14">
          <cell r="A14" t="str">
            <v>寸法</v>
          </cell>
        </row>
        <row r="15">
          <cell r="A15" t="str">
            <v>現在容量</v>
          </cell>
        </row>
        <row r="16">
          <cell r="A16" t="str">
            <v>アルコール度数</v>
          </cell>
        </row>
        <row r="17">
          <cell r="A17" t="str">
            <v>温度</v>
          </cell>
        </row>
        <row r="18">
          <cell r="A18" t="str">
            <v>LA容量</v>
          </cell>
        </row>
        <row r="19">
          <cell r="A19" t="str">
            <v>温度換算容量</v>
          </cell>
        </row>
        <row r="20">
          <cell r="A20" t="str">
            <v>温度換算LA容量</v>
          </cell>
        </row>
        <row r="21">
          <cell r="A21" t="str">
            <v>受払合計容量</v>
          </cell>
        </row>
        <row r="22">
          <cell r="A22" t="str">
            <v>受払合計LA容量</v>
          </cell>
        </row>
        <row r="23">
          <cell r="A23" t="str">
            <v>温度換算受払合計容量</v>
          </cell>
        </row>
        <row r="24">
          <cell r="A24" t="str">
            <v>温度換算受払合計LA容量</v>
          </cell>
        </row>
        <row r="25">
          <cell r="A25" t="str">
            <v>最新更新日</v>
          </cell>
        </row>
        <row r="26">
          <cell r="A26" t="str">
            <v>日別順序</v>
          </cell>
        </row>
        <row r="27">
          <cell r="A27" t="str">
            <v>日別順序枝番</v>
          </cell>
        </row>
        <row r="28">
          <cell r="A28" t="str">
            <v>エキス度数</v>
          </cell>
        </row>
        <row r="29">
          <cell r="A29" t="str">
            <v>ﾚｺｰﾄﾞ作成ﾕｰｻﾞＩＤ</v>
          </cell>
        </row>
        <row r="30">
          <cell r="A30" t="str">
            <v>ﾚｺｰﾄﾞ作成日</v>
          </cell>
        </row>
        <row r="31">
          <cell r="A31" t="str">
            <v>ﾚｺｰﾄﾞ更新ﾕｰｻﾞＩＤ</v>
          </cell>
        </row>
        <row r="32">
          <cell r="A32" t="str">
            <v>ﾚｺｰﾄﾞ更新日</v>
          </cell>
        </row>
      </sheetData>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まとめ１"/>
      <sheetName val="まとめ2"/>
      <sheetName val="まとめ3"/>
      <sheetName val="まとめ4"/>
      <sheetName val="まとめ5"/>
      <sheetName val="試験問題１"/>
      <sheetName val="試験問題２"/>
      <sheetName val="試験問題３"/>
      <sheetName val="試験問題４"/>
      <sheetName val="試験問題５"/>
      <sheetName val="試験問題６"/>
      <sheetName val="試験問題７"/>
      <sheetName val="試験問題８"/>
      <sheetName val="試験問題9"/>
      <sheetName val="全問題"/>
      <sheetName val="明細"/>
      <sheetName val="#REF"/>
      <sheetName val="原本（ﾛｰﾃﾞｰﾀ）"/>
      <sheetName val="icf100tb"/>
    </sheetNames>
    <sheetDataSet>
      <sheetData sheetId="0" refreshError="1"/>
      <sheetData sheetId="1" refreshError="1">
        <row r="6">
          <cell r="B6" t="str">
            <v>販売伝票の処理ではどの機能が実行されますか。</v>
          </cell>
        </row>
        <row r="12">
          <cell r="B12" t="str">
            <v>得意先マスタ内の3つのデータ・エリアとは何ですか。</v>
          </cell>
        </row>
        <row r="16">
          <cell r="B16" t="str">
            <v>得意先マスタを使用して定義される4つの取引先機能とは何ですか。</v>
          </cell>
        </row>
        <row r="21">
          <cell r="B21" t="str">
            <v>得意先マスタ内の販売データは、どのような組織構造に依存してい</v>
          </cell>
        </row>
        <row r="22">
          <cell r="B22" t="str">
            <v>ますか。</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記入方法"/>
      <sheetName val="命名規則"/>
      <sheetName val="変更履歴"/>
      <sheetName val="項目定義書"/>
      <sheetName val="必須チェック項目一覧"/>
      <sheetName val="フォーマットチェック項目一覧"/>
      <sheetName val="桁数チェック項目一覧"/>
      <sheetName val="範囲チェック項目一覧"/>
      <sheetName val="tmp"/>
      <sheetName val="まとめ2"/>
      <sheetName val="項目定義書_デフォルト"/>
      <sheetName val="チャネル別売上数量"/>
      <sheetName val="明細"/>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D6">
            <v>37718</v>
          </cell>
        </row>
      </sheetData>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テーブル一覧"/>
      <sheetName val="出荷"/>
      <sheetName val="社内移動計画"/>
      <sheetName val="社内移動実行"/>
      <sheetName val="社内移動実行まとめ履歴"/>
      <sheetName val="エラー内容"/>
      <sheetName val="エラー内容履歴"/>
      <sheetName val="配車データ受信履歴"/>
      <sheetName val="統合配車データ受信履歴"/>
      <sheetName val="実車データ受信履歴"/>
      <sheetName val="伝送配信履歴"/>
      <sheetName val="伝送受付履歴"/>
      <sheetName val="その他受払"/>
      <sheetName val="その他受払明細1"/>
      <sheetName val="その他受払明細2"/>
      <sheetName val="営業物品発注"/>
      <sheetName val="営業物品発注部署"/>
      <sheetName val="営業物品検収伝票"/>
      <sheetName val="営業物品検収伝票部署"/>
      <sheetName val="在庫受払明細"/>
      <sheetName val="在庫受払実績"/>
      <sheetName val="期首在庫"/>
      <sheetName val="在庫マイナスキー"/>
      <sheetName val="品質区分自動変更抽出一時"/>
      <sheetName val="t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4">
          <cell r="U4" t="str">
            <v>○</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ateTools"/>
    </sheetNames>
    <definedNames>
      <definedName name="OnOff検索のみ"/>
      <definedName name="ReplaceColumn"/>
    </defined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訳"/>
      <sheetName val="使用SUB一覧"/>
      <sheetName val="SUBPGM一覧(参照用)"/>
      <sheetName val="14年3月末"/>
    </sheetNames>
    <sheetDataSet>
      <sheetData sheetId="0"/>
      <sheetData sheetId="1"/>
      <sheetData sheetId="2" refreshError="1">
        <row r="2">
          <cell r="B2" t="str">
            <v>AOA02001</v>
          </cell>
          <cell r="C2" t="str">
            <v>ﾌｧｲﾙﾚｺｰﾄﾞﾍﾟｰｼﾞ情報ﾚｺｰﾄﾞ作成</v>
          </cell>
          <cell r="D2">
            <v>212</v>
          </cell>
        </row>
        <row r="3">
          <cell r="B3" t="str">
            <v>AOA03051</v>
          </cell>
          <cell r="C3" t="str">
            <v>ﾚﾎﾟｰﾄ創生ﾃﾞｰﾀ入出力ｻﾌﾞ</v>
          </cell>
          <cell r="D3">
            <v>303</v>
          </cell>
        </row>
        <row r="4">
          <cell r="B4" t="str">
            <v>AOA03052</v>
          </cell>
          <cell r="C4" t="str">
            <v>ﾚﾎﾟｰﾄ創生ﾍﾟｰｼﾞﾃﾞｰﾀ入出力ｻﾌﾞ</v>
          </cell>
          <cell r="D4">
            <v>166</v>
          </cell>
        </row>
        <row r="5">
          <cell r="B5" t="str">
            <v>AOB01001</v>
          </cell>
          <cell r="C5" t="str">
            <v>TERMINAL　ＩＤ　CONVERT　ｻﾌﾞ</v>
          </cell>
          <cell r="D5">
            <v>98</v>
          </cell>
        </row>
        <row r="6">
          <cell r="B6" t="str">
            <v>AOX05001</v>
          </cell>
          <cell r="C6" t="str">
            <v>HLF　書込み　ｻﾌﾞ</v>
          </cell>
          <cell r="D6">
            <v>35</v>
          </cell>
        </row>
        <row r="7">
          <cell r="B7" t="str">
            <v xml:space="preserve">CDDATE </v>
          </cell>
          <cell r="C7" t="str">
            <v>日付カード読み込みｻﾌﾞ</v>
          </cell>
          <cell r="D7">
            <v>110</v>
          </cell>
        </row>
        <row r="8">
          <cell r="B8" t="str">
            <v>CNVDATE</v>
          </cell>
          <cell r="C8" t="str">
            <v>日数計算ｻﾌﾞ</v>
          </cell>
          <cell r="D8">
            <v>412</v>
          </cell>
        </row>
        <row r="9">
          <cell r="B9" t="str">
            <v>CNVDATEX</v>
          </cell>
          <cell r="C9" t="str">
            <v>日数計算ｻﾌﾞ</v>
          </cell>
          <cell r="D9">
            <v>337</v>
          </cell>
        </row>
        <row r="10">
          <cell r="B10" t="str">
            <v>CXA01010</v>
          </cell>
          <cell r="C10" t="str">
            <v>企業間通信ｻﾌﾞ</v>
          </cell>
          <cell r="D10">
            <v>435</v>
          </cell>
        </row>
        <row r="11">
          <cell r="B11" t="str">
            <v>CXA01020</v>
          </cell>
          <cell r="C11" t="str">
            <v>企業間通信ｻﾌﾞ</v>
          </cell>
          <cell r="D11">
            <v>404</v>
          </cell>
        </row>
        <row r="12">
          <cell r="B12" t="str">
            <v>CXA02020</v>
          </cell>
          <cell r="C12" t="str">
            <v>企業間通信ｻﾌﾞ</v>
          </cell>
          <cell r="D12">
            <v>278</v>
          </cell>
        </row>
        <row r="13">
          <cell r="B13" t="str">
            <v>DATECHK</v>
          </cell>
          <cell r="C13" t="str">
            <v>邦暦（日付）カレンダーﾁｪｯｸ</v>
          </cell>
          <cell r="D13">
            <v>55</v>
          </cell>
        </row>
        <row r="14">
          <cell r="B14" t="str">
            <v>DATECVT1</v>
          </cell>
          <cell r="C14" t="str">
            <v>邦暦→西暦変換ｻﾌﾞ</v>
          </cell>
          <cell r="D14">
            <v>44</v>
          </cell>
        </row>
        <row r="15">
          <cell r="B15" t="str">
            <v>DATECVT2</v>
          </cell>
          <cell r="C15" t="str">
            <v>邦暦→西暦変換ｻﾌﾞ</v>
          </cell>
          <cell r="D15">
            <v>36</v>
          </cell>
        </row>
        <row r="16">
          <cell r="B16" t="str">
            <v>DATECVTX</v>
          </cell>
          <cell r="C16" t="str">
            <v>西暦→邦暦変換ｻﾌﾞ</v>
          </cell>
          <cell r="D16">
            <v>65</v>
          </cell>
        </row>
        <row r="17">
          <cell r="B17" t="str">
            <v>DATECVTY</v>
          </cell>
          <cell r="C17" t="str">
            <v>西暦→邦暦変換ｻﾌﾞ</v>
          </cell>
          <cell r="D17">
            <v>109</v>
          </cell>
        </row>
        <row r="18">
          <cell r="B18" t="str">
            <v>DATECVTZ</v>
          </cell>
          <cell r="C18" t="str">
            <v>邦暦→邦暦変換ｻﾌﾞ</v>
          </cell>
          <cell r="D18">
            <v>81</v>
          </cell>
        </row>
        <row r="19">
          <cell r="B19" t="str">
            <v>DIA01001</v>
          </cell>
          <cell r="C19" t="str">
            <v>締関連M読み込みｻﾌﾞ</v>
          </cell>
          <cell r="D19">
            <v>179</v>
          </cell>
        </row>
        <row r="20">
          <cell r="B20" t="str">
            <v>DIA02001</v>
          </cell>
          <cell r="C20" t="str">
            <v>ﾊﾟﾚｯﾄ・才数・重量計算</v>
          </cell>
          <cell r="D20">
            <v>119</v>
          </cell>
        </row>
        <row r="21">
          <cell r="B21" t="str">
            <v>DIA02002</v>
          </cell>
          <cell r="C21" t="str">
            <v>環境定義M設定</v>
          </cell>
          <cell r="D21">
            <v>105</v>
          </cell>
        </row>
        <row r="22">
          <cell r="B22" t="str">
            <v>DIA21001</v>
          </cell>
          <cell r="C22" t="str">
            <v>出荷日ﾁｪｯｸｻﾌﾞ</v>
          </cell>
          <cell r="D22">
            <v>81</v>
          </cell>
        </row>
        <row r="23">
          <cell r="B23" t="str">
            <v>DIA23001</v>
          </cell>
          <cell r="C23" t="str">
            <v>締得意先ｸﾞﾙｰﾌﾟ取得ｻﾌﾞ</v>
          </cell>
          <cell r="D23">
            <v>96</v>
          </cell>
        </row>
        <row r="24">
          <cell r="B24" t="str">
            <v>DIA24001</v>
          </cell>
          <cell r="C24" t="str">
            <v>締関連M読み込みｻﾌﾞ（得意先M対応）</v>
          </cell>
          <cell r="D24">
            <v>234</v>
          </cell>
        </row>
        <row r="25">
          <cell r="B25" t="str">
            <v>DIA51001</v>
          </cell>
          <cell r="C25" t="str">
            <v>バッチ処理起動ＤＢ作成</v>
          </cell>
          <cell r="D25">
            <v>286</v>
          </cell>
        </row>
        <row r="26">
          <cell r="B26" t="str">
            <v>DIB09001</v>
          </cell>
          <cell r="C26" t="str">
            <v>製造ﾛｯﾄ区分算出ｻﾌﾞ</v>
          </cell>
          <cell r="D26">
            <v>142</v>
          </cell>
        </row>
        <row r="27">
          <cell r="B27" t="str">
            <v>DIB31001</v>
          </cell>
          <cell r="C27" t="str">
            <v>配車№登録</v>
          </cell>
          <cell r="D27">
            <v>709</v>
          </cell>
        </row>
        <row r="28">
          <cell r="B28" t="str">
            <v>DIB32001</v>
          </cell>
          <cell r="C28" t="str">
            <v>配車№分割登録</v>
          </cell>
          <cell r="D28">
            <v>1078</v>
          </cell>
        </row>
        <row r="29">
          <cell r="B29" t="str">
            <v>DIE01001</v>
          </cell>
          <cell r="C29" t="str">
            <v>ﾃﾞｰﾀ伝送決定</v>
          </cell>
          <cell r="D29">
            <v>217</v>
          </cell>
        </row>
        <row r="30">
          <cell r="B30" t="str">
            <v>DIE01009</v>
          </cell>
          <cell r="C30" t="str">
            <v>伝送ﾃﾞｰﾀ品質区分置換ｻﾌﾞ</v>
          </cell>
          <cell r="D30">
            <v>33</v>
          </cell>
        </row>
        <row r="31">
          <cell r="B31" t="str">
            <v>DIF51001</v>
          </cell>
          <cell r="C31" t="str">
            <v>バッチ処理起動ＤＢ作成</v>
          </cell>
          <cell r="D31">
            <v>302</v>
          </cell>
        </row>
        <row r="32">
          <cell r="B32" t="str">
            <v>DIF55001</v>
          </cell>
          <cell r="C32" t="str">
            <v>ﾊﾞｯﾁ起動DB作成PGM</v>
          </cell>
          <cell r="D32">
            <v>343</v>
          </cell>
        </row>
        <row r="33">
          <cell r="B33" t="str">
            <v>DIF83001</v>
          </cell>
          <cell r="C33" t="str">
            <v>製造ﾛｯﾄ取得ｻﾌﾞ</v>
          </cell>
          <cell r="D33">
            <v>244</v>
          </cell>
        </row>
        <row r="34">
          <cell r="B34" t="str">
            <v>DIG41001</v>
          </cell>
          <cell r="C34" t="str">
            <v>最新製造ﾛｯﾄ出荷条件TBL（I/O)</v>
          </cell>
          <cell r="D34">
            <v>675</v>
          </cell>
        </row>
        <row r="35">
          <cell r="B35" t="str">
            <v>DIG42001</v>
          </cell>
          <cell r="C35" t="str">
            <v>最新製造ﾛｯﾄTBL（I/O)</v>
          </cell>
          <cell r="D35">
            <v>646</v>
          </cell>
        </row>
        <row r="36">
          <cell r="B36" t="str">
            <v>DIH01001</v>
          </cell>
          <cell r="C36" t="str">
            <v>統合区分取得TBL(I/O)</v>
          </cell>
          <cell r="D36">
            <v>299</v>
          </cell>
        </row>
        <row r="37">
          <cell r="B37" t="str">
            <v>DIH02001</v>
          </cell>
          <cell r="C37" t="str">
            <v>共配区分決定ｻﾌﾞ</v>
          </cell>
          <cell r="D37">
            <v>178</v>
          </cell>
        </row>
        <row r="38">
          <cell r="B38" t="str">
            <v>DIH03001</v>
          </cell>
          <cell r="C38" t="str">
            <v>納入日決定ｻﾌﾞ</v>
          </cell>
          <cell r="D38">
            <v>146</v>
          </cell>
        </row>
        <row r="39">
          <cell r="B39" t="str">
            <v>DIH04001</v>
          </cell>
          <cell r="C39" t="str">
            <v>配車№登録（統合配車）</v>
          </cell>
          <cell r="D39">
            <v>516</v>
          </cell>
        </row>
        <row r="40">
          <cell r="B40" t="str">
            <v>DIH05001</v>
          </cell>
          <cell r="C40" t="str">
            <v>配車№分割登録（統合配車）</v>
          </cell>
          <cell r="D40">
            <v>737</v>
          </cell>
        </row>
        <row r="41">
          <cell r="B41" t="str">
            <v>DIH06001</v>
          </cell>
          <cell r="C41" t="str">
            <v>卸代配区分取得（統合配車）</v>
          </cell>
          <cell r="D41">
            <v>237</v>
          </cell>
        </row>
        <row r="42">
          <cell r="B42" t="str">
            <v>DII21001</v>
          </cell>
          <cell r="C42" t="str">
            <v>曜日算出ｻﾌﾞ</v>
          </cell>
          <cell r="D42">
            <v>185</v>
          </cell>
        </row>
        <row r="43">
          <cell r="B43" t="str">
            <v>DIL11001</v>
          </cell>
          <cell r="C43" t="str">
            <v>統合配車№登録</v>
          </cell>
          <cell r="D43">
            <v>391</v>
          </cell>
        </row>
        <row r="44">
          <cell r="B44" t="str">
            <v>DIL14001</v>
          </cell>
          <cell r="C44" t="str">
            <v>統合配車№分割登録</v>
          </cell>
          <cell r="D44">
            <v>718</v>
          </cell>
        </row>
        <row r="45">
          <cell r="B45" t="str">
            <v>DIL04001</v>
          </cell>
          <cell r="C45" t="str">
            <v>配車№登録（統合配車）</v>
          </cell>
          <cell r="D45">
            <v>550</v>
          </cell>
        </row>
        <row r="46">
          <cell r="B46" t="str">
            <v>DIL05001</v>
          </cell>
          <cell r="C46" t="str">
            <v>配車№分割登録（統合配車）</v>
          </cell>
          <cell r="D46">
            <v>763</v>
          </cell>
        </row>
        <row r="47">
          <cell r="B47" t="str">
            <v>DIL71001</v>
          </cell>
          <cell r="C47" t="str">
            <v>社内移動計画DB読込1(社内移動計画用)</v>
          </cell>
          <cell r="D47">
            <v>1603</v>
          </cell>
        </row>
        <row r="48">
          <cell r="B48" t="str">
            <v>DIL73002</v>
          </cell>
          <cell r="C48" t="str">
            <v>社内移動計画DBﾁｪｯｸ&amp;更新</v>
          </cell>
          <cell r="D48">
            <v>7324</v>
          </cell>
        </row>
        <row r="49">
          <cell r="B49" t="str">
            <v>DIL74001</v>
          </cell>
          <cell r="C49" t="str">
            <v>社内移動計画ｼｽﾃﾑｴﾗｰﾒｯｾｰｼﾞ返信</v>
          </cell>
          <cell r="D49">
            <v>1140</v>
          </cell>
        </row>
        <row r="50">
          <cell r="B50" t="str">
            <v>DIL81001</v>
          </cell>
          <cell r="C50" t="str">
            <v>社内移動計画DB読込2</v>
          </cell>
          <cell r="D50">
            <v>844</v>
          </cell>
        </row>
        <row r="51">
          <cell r="B51" t="str">
            <v>DIO16001</v>
          </cell>
          <cell r="C51" t="str">
            <v>統合配車ﾁｪｯｸｻﾌﾞ</v>
          </cell>
          <cell r="D51">
            <v>553</v>
          </cell>
        </row>
        <row r="52">
          <cell r="B52" t="str">
            <v>DIR01010</v>
          </cell>
          <cell r="C52" t="str">
            <v>翌営業日決定ｻﾌﾞ</v>
          </cell>
          <cell r="D52">
            <v>82</v>
          </cell>
        </row>
        <row r="53">
          <cell r="B53" t="str">
            <v>DIS04001</v>
          </cell>
          <cell r="C53" t="str">
            <v>着荷日・出荷日決定ｻﾌﾞ</v>
          </cell>
          <cell r="D53">
            <v>133</v>
          </cell>
        </row>
        <row r="54">
          <cell r="B54" t="str">
            <v>DIT01001</v>
          </cell>
          <cell r="C54" t="str">
            <v>受注状況DB更新ｻﾌﾞ</v>
          </cell>
          <cell r="D54">
            <v>407</v>
          </cell>
        </row>
        <row r="55">
          <cell r="B55" t="str">
            <v>DIU03001</v>
          </cell>
          <cell r="C55" t="str">
            <v>プリンターIDﾁｪｯｸｻﾌﾞ</v>
          </cell>
          <cell r="D55">
            <v>225</v>
          </cell>
        </row>
        <row r="56">
          <cell r="B56" t="str">
            <v>DIU04001</v>
          </cell>
          <cell r="C56" t="str">
            <v>伝票出力ｻﾌﾞ</v>
          </cell>
          <cell r="D56">
            <v>1044</v>
          </cell>
        </row>
        <row r="57">
          <cell r="B57" t="str">
            <v>DIY01001</v>
          </cell>
          <cell r="C57" t="str">
            <v>鮮度管理対象品目ﾁｪｯｸ</v>
          </cell>
          <cell r="D57">
            <v>102</v>
          </cell>
        </row>
        <row r="58">
          <cell r="B58" t="str">
            <v>DIY02001</v>
          </cell>
          <cell r="C58" t="str">
            <v>鮮度管理対象品目ﾁｪｯｸ</v>
          </cell>
          <cell r="D58">
            <v>70</v>
          </cell>
        </row>
        <row r="59">
          <cell r="B59" t="str">
            <v>DIY03001</v>
          </cell>
          <cell r="C59" t="str">
            <v>鮮度管理対象店ﾁｪｯｸ</v>
          </cell>
          <cell r="D59">
            <v>97</v>
          </cell>
        </row>
        <row r="60">
          <cell r="B60" t="str">
            <v>DYNALOC1</v>
          </cell>
          <cell r="C60" t="str">
            <v>D/Sﾀﾞｲﾅﾐｯｸｱﾛｹｰｼｮﾝｻﾌﾞ</v>
          </cell>
          <cell r="D60">
            <v>412</v>
          </cell>
        </row>
        <row r="61">
          <cell r="B61" t="str">
            <v>DYNALOC2</v>
          </cell>
          <cell r="D61">
            <v>225</v>
          </cell>
        </row>
        <row r="62">
          <cell r="B62" t="str">
            <v>EJA04001</v>
          </cell>
          <cell r="C62" t="str">
            <v>マスタチェック</v>
          </cell>
          <cell r="D62">
            <v>1275</v>
          </cell>
        </row>
        <row r="63">
          <cell r="B63" t="str">
            <v>EJA05002</v>
          </cell>
          <cell r="C63" t="str">
            <v>受注機受注書作成ｻﾌﾞ</v>
          </cell>
          <cell r="D63">
            <v>2445</v>
          </cell>
        </row>
        <row r="64">
          <cell r="B64" t="str">
            <v>EJA07001</v>
          </cell>
          <cell r="C64" t="str">
            <v>ハクバン情報参照ｻﾌﾞ</v>
          </cell>
          <cell r="D64">
            <v>168</v>
          </cell>
        </row>
        <row r="65">
          <cell r="B65" t="str">
            <v>FRI11010</v>
          </cell>
          <cell r="C65" t="str">
            <v>製造ｴﾘｱ取得ｻﾌﾞ</v>
          </cell>
          <cell r="D65">
            <v>95</v>
          </cell>
        </row>
        <row r="66">
          <cell r="B66" t="str">
            <v>FRI16010</v>
          </cell>
          <cell r="C66" t="str">
            <v>社内移動理由取得ｻﾌﾞ</v>
          </cell>
          <cell r="D66">
            <v>169</v>
          </cell>
        </row>
        <row r="67">
          <cell r="B67" t="str">
            <v>GMXKNSUB</v>
          </cell>
          <cell r="C67" t="str">
            <v>市郡名＋住所編集SUB</v>
          </cell>
          <cell r="D67">
            <v>373</v>
          </cell>
        </row>
        <row r="68">
          <cell r="B68" t="str">
            <v>HWS02001</v>
          </cell>
          <cell r="C68" t="str">
            <v>一般店受注可能残算出ｻﾌﾞ</v>
          </cell>
          <cell r="D68">
            <v>479</v>
          </cell>
        </row>
        <row r="69">
          <cell r="B69" t="str">
            <v>HWS03001</v>
          </cell>
          <cell r="C69" t="str">
            <v>販売枠引当ﾁｪｯｸｻﾌﾞ</v>
          </cell>
          <cell r="D69">
            <v>1787</v>
          </cell>
        </row>
        <row r="70">
          <cell r="B70" t="str">
            <v>HWS05001</v>
          </cell>
          <cell r="C70" t="str">
            <v>販売枠受注可能残算出ｻﾌﾞ</v>
          </cell>
          <cell r="D70">
            <v>1688</v>
          </cell>
        </row>
        <row r="71">
          <cell r="B71" t="str">
            <v>HWS06001</v>
          </cell>
          <cell r="C71" t="str">
            <v>在庫予約・販売枠振り分け処理</v>
          </cell>
          <cell r="D71">
            <v>587</v>
          </cell>
        </row>
        <row r="72">
          <cell r="B72" t="str">
            <v>HWS14001</v>
          </cell>
          <cell r="C72" t="str">
            <v>販売枠ARG決定ｻﾌﾞ</v>
          </cell>
          <cell r="D72">
            <v>556</v>
          </cell>
        </row>
        <row r="73">
          <cell r="B73" t="str">
            <v>HWS15001</v>
          </cell>
          <cell r="C73" t="str">
            <v>販売ﾌﾞﾛｯｸ変換ｻﾌﾞ</v>
          </cell>
          <cell r="D73">
            <v>193</v>
          </cell>
        </row>
        <row r="74">
          <cell r="B74" t="str">
            <v>HWS67001</v>
          </cell>
          <cell r="C74" t="str">
            <v>販売枠必要数ｽﾗｲﾄﾞｻﾌﾞ</v>
          </cell>
          <cell r="D74">
            <v>2235</v>
          </cell>
        </row>
        <row r="75">
          <cell r="B75" t="str">
            <v>HWT02001</v>
          </cell>
          <cell r="C75" t="str">
            <v>一般受注可能残算出ｻﾌﾞ２</v>
          </cell>
          <cell r="D75">
            <v>526</v>
          </cell>
        </row>
        <row r="76">
          <cell r="B76" t="str">
            <v>HWT03001</v>
          </cell>
          <cell r="C76" t="str">
            <v>販売枠引当ﾁｪｯｸｻﾌﾞ</v>
          </cell>
          <cell r="D76">
            <v>1991</v>
          </cell>
        </row>
        <row r="77">
          <cell r="B77" t="str">
            <v>HWT05001</v>
          </cell>
          <cell r="C77" t="str">
            <v>販売枠受注可能残算出ｻﾌﾞ</v>
          </cell>
          <cell r="D77">
            <v>1690</v>
          </cell>
        </row>
        <row r="78">
          <cell r="B78" t="str">
            <v>HWT06001</v>
          </cell>
          <cell r="C78" t="str">
            <v>在庫予約/販売枠振り分けｻﾌﾞ</v>
          </cell>
          <cell r="D78">
            <v>676</v>
          </cell>
        </row>
        <row r="79">
          <cell r="B79" t="str">
            <v>HWT07001</v>
          </cell>
          <cell r="C79" t="str">
            <v>販売枠許容数ﾁｪｯｸｻﾌﾞ</v>
          </cell>
          <cell r="D79">
            <v>486</v>
          </cell>
        </row>
        <row r="80">
          <cell r="B80" t="str">
            <v>HWT08001</v>
          </cell>
          <cell r="C80" t="str">
            <v>許容数（受）ﾁｪｯｸｻﾌﾞ</v>
          </cell>
          <cell r="D80">
            <v>731</v>
          </cell>
        </row>
        <row r="81">
          <cell r="B81" t="str">
            <v>HWT10001</v>
          </cell>
          <cell r="C81" t="str">
            <v>一般受注可能残ﾁｪｯｸｻﾌﾞ</v>
          </cell>
          <cell r="D81">
            <v>189</v>
          </cell>
        </row>
        <row r="82">
          <cell r="B82" t="str">
            <v>HWT12001</v>
          </cell>
          <cell r="C82" t="str">
            <v>社内移動許容数ﾁｪｯｸｻﾌﾞ</v>
          </cell>
          <cell r="D82">
            <v>591</v>
          </cell>
        </row>
        <row r="83">
          <cell r="B83" t="str">
            <v>HWT13001</v>
          </cell>
          <cell r="C83" t="str">
            <v>許容数ﾁｪｯｸｻﾌﾞ</v>
          </cell>
          <cell r="D83">
            <v>849</v>
          </cell>
        </row>
        <row r="84">
          <cell r="B84" t="str">
            <v>HWT21001</v>
          </cell>
          <cell r="C84" t="str">
            <v>通販枠引当ｻﾌﾞ</v>
          </cell>
          <cell r="D84">
            <v>375</v>
          </cell>
        </row>
        <row r="85">
          <cell r="B85" t="str">
            <v>HWT22001</v>
          </cell>
          <cell r="C85" t="str">
            <v>ﾌﾘｰ在庫算出ｻﾌﾞ（倉庫用）</v>
          </cell>
          <cell r="D85">
            <v>412</v>
          </cell>
        </row>
        <row r="86">
          <cell r="B86" t="str">
            <v>HWT24001</v>
          </cell>
          <cell r="C86" t="str">
            <v>通販枠共通AP読み込みｻﾌﾞ</v>
          </cell>
          <cell r="D86">
            <v>246</v>
          </cell>
        </row>
        <row r="87">
          <cell r="B87" t="str">
            <v>HWT25001</v>
          </cell>
          <cell r="C87" t="str">
            <v>通販枠引当ｻﾌﾞ</v>
          </cell>
          <cell r="D87">
            <v>417</v>
          </cell>
        </row>
        <row r="88">
          <cell r="B88" t="str">
            <v>HWT56001</v>
          </cell>
          <cell r="C88" t="str">
            <v>在庫予約/販売枠振り分けｻﾌﾞ</v>
          </cell>
          <cell r="D88">
            <v>678</v>
          </cell>
        </row>
        <row r="89">
          <cell r="B89" t="str">
            <v>HWT57001</v>
          </cell>
          <cell r="C89" t="str">
            <v>販売枠許容数ﾁｪｯｸ</v>
          </cell>
          <cell r="D89">
            <v>482</v>
          </cell>
        </row>
        <row r="90">
          <cell r="B90" t="str">
            <v>HWT76001</v>
          </cell>
          <cell r="C90" t="str">
            <v>広域需給・販売枠振り分けサブ</v>
          </cell>
          <cell r="D90">
            <v>691</v>
          </cell>
        </row>
        <row r="91">
          <cell r="B91" t="str">
            <v>HWT77001</v>
          </cell>
          <cell r="C91" t="str">
            <v>販売枠許容数ﾁｪｯｸ</v>
          </cell>
          <cell r="D91">
            <v>488</v>
          </cell>
        </row>
        <row r="92">
          <cell r="B92" t="str">
            <v>IE001010</v>
          </cell>
          <cell r="C92" t="str">
            <v>受払企業間通信</v>
          </cell>
          <cell r="D92">
            <v>1370</v>
          </cell>
        </row>
        <row r="93">
          <cell r="B93" t="str">
            <v>IEA02001</v>
          </cell>
          <cell r="C93" t="str">
            <v>詰合せ分解ｻﾌﾞ</v>
          </cell>
          <cell r="D93">
            <v>366</v>
          </cell>
        </row>
        <row r="94">
          <cell r="B94" t="str">
            <v>IED31001</v>
          </cell>
          <cell r="C94" t="str">
            <v>出荷データ受払更新</v>
          </cell>
          <cell r="D94">
            <v>153</v>
          </cell>
        </row>
        <row r="95">
          <cell r="B95" t="str">
            <v>IED42001</v>
          </cell>
          <cell r="C95" t="str">
            <v>パレット一括修正</v>
          </cell>
          <cell r="D95">
            <v>741</v>
          </cell>
        </row>
        <row r="96">
          <cell r="B96" t="str">
            <v>IED61001</v>
          </cell>
          <cell r="C96" t="str">
            <v>健食通販データ連携ﾃﾞｰﾀﾁｪｯｸｻﾌﾞ</v>
          </cell>
          <cell r="D96">
            <v>1306</v>
          </cell>
        </row>
        <row r="97">
          <cell r="B97" t="str">
            <v>IED62001</v>
          </cell>
          <cell r="C97" t="str">
            <v>健食通販データ連携DB更新ｻﾌﾞ</v>
          </cell>
          <cell r="D97">
            <v>257</v>
          </cell>
        </row>
        <row r="98">
          <cell r="B98" t="str">
            <v>IED63001</v>
          </cell>
          <cell r="C98" t="str">
            <v>健食通販ﾃﾞｰﾀ連携ｴﾗｰﾒｯｾｰｼﾞ編集ｻﾌﾞ</v>
          </cell>
          <cell r="D98">
            <v>291</v>
          </cell>
        </row>
        <row r="99">
          <cell r="B99" t="str">
            <v>IEE02001</v>
          </cell>
          <cell r="C99" t="str">
            <v>社内移動受払DB更新ｻﾌﾞ</v>
          </cell>
          <cell r="D99">
            <v>436</v>
          </cell>
        </row>
        <row r="100">
          <cell r="B100" t="str">
            <v>IEE03001</v>
          </cell>
          <cell r="C100" t="str">
            <v>社内移動需給DB更新ｻﾌﾞ</v>
          </cell>
          <cell r="D100">
            <v>262</v>
          </cell>
        </row>
        <row r="101">
          <cell r="B101" t="str">
            <v>IEE05002</v>
          </cell>
          <cell r="C101" t="str">
            <v>社内移動計画DB更新</v>
          </cell>
          <cell r="D101">
            <v>395</v>
          </cell>
        </row>
        <row r="102">
          <cell r="B102" t="str">
            <v>IEE06001</v>
          </cell>
          <cell r="C102" t="str">
            <v>社内移動計画修正可能判定ｻﾌﾞ</v>
          </cell>
          <cell r="D102">
            <v>454</v>
          </cell>
        </row>
        <row r="103">
          <cell r="B103" t="str">
            <v>IEF03001</v>
          </cell>
          <cell r="C103" t="str">
            <v>処理ﾛｼﾞｯｸ決定ｻﾌﾞ</v>
          </cell>
          <cell r="D103">
            <v>150</v>
          </cell>
        </row>
        <row r="104">
          <cell r="B104" t="str">
            <v>IEF04001</v>
          </cell>
          <cell r="C104" t="str">
            <v>項目ﾁｪｯｸｻﾌﾞ</v>
          </cell>
          <cell r="D104">
            <v>3845</v>
          </cell>
        </row>
        <row r="105">
          <cell r="B105" t="str">
            <v>IEF05001</v>
          </cell>
          <cell r="C105" t="str">
            <v>検収DB更新ｻﾌﾞ</v>
          </cell>
          <cell r="D105">
            <v>1895</v>
          </cell>
        </row>
        <row r="106">
          <cell r="B106" t="str">
            <v>IEF06001</v>
          </cell>
          <cell r="C106" t="str">
            <v>戻入依頼伝票・戻入引取指示書発行ｻﾌﾞ</v>
          </cell>
          <cell r="D106">
            <v>1583</v>
          </cell>
        </row>
        <row r="107">
          <cell r="B107" t="str">
            <v>IEF07001</v>
          </cell>
          <cell r="C107" t="str">
            <v>受払場所ﾏｽﾀ検索</v>
          </cell>
          <cell r="D107">
            <v>70</v>
          </cell>
        </row>
        <row r="108">
          <cell r="B108" t="str">
            <v>IEF08001</v>
          </cell>
          <cell r="C108" t="str">
            <v>相手先ﾏｽﾀ検索</v>
          </cell>
          <cell r="D108">
            <v>74</v>
          </cell>
        </row>
        <row r="109">
          <cell r="B109" t="str">
            <v>IEF09001</v>
          </cell>
          <cell r="C109" t="str">
            <v>配送地区ｺｰﾄﾞ決定ｻﾌﾞ</v>
          </cell>
          <cell r="D109">
            <v>68</v>
          </cell>
        </row>
        <row r="110">
          <cell r="B110" t="str">
            <v>IEF10001</v>
          </cell>
          <cell r="C110" t="str">
            <v>営業品目ﾏｽﾀ検索ｻﾌﾞ</v>
          </cell>
          <cell r="D110">
            <v>170</v>
          </cell>
        </row>
        <row r="111">
          <cell r="B111" t="str">
            <v>IEF11001</v>
          </cell>
          <cell r="C111" t="str">
            <v>検収DB、出荷指図済DBよりSPA編集ｻﾌﾞ</v>
          </cell>
          <cell r="D111">
            <v>1764</v>
          </cell>
        </row>
        <row r="112">
          <cell r="B112" t="str">
            <v>IEF55001</v>
          </cell>
          <cell r="C112" t="str">
            <v>検収DB更新ｻﾌﾞ</v>
          </cell>
          <cell r="D112">
            <v>2200</v>
          </cell>
        </row>
        <row r="113">
          <cell r="B113" t="str">
            <v>IEG04001</v>
          </cell>
          <cell r="C113" t="str">
            <v>空容器回収ﾌﾟﾙｰﾌﾘｽﾄ作成</v>
          </cell>
          <cell r="D113">
            <v>177</v>
          </cell>
        </row>
        <row r="114">
          <cell r="B114" t="str">
            <v>IEG31001</v>
          </cell>
          <cell r="C114" t="str">
            <v>検収ﾃﾞｰﾀ受払更新</v>
          </cell>
          <cell r="D114">
            <v>215</v>
          </cell>
        </row>
        <row r="115">
          <cell r="B115" t="str">
            <v>IEL21001</v>
          </cell>
          <cell r="C115" t="str">
            <v>賞味期限残期間ﾃｰﾌﾞﾙ読込ｻﾌﾞ</v>
          </cell>
          <cell r="D115">
            <v>47</v>
          </cell>
        </row>
        <row r="116">
          <cell r="B116" t="str">
            <v>IEL21002</v>
          </cell>
          <cell r="C116" t="str">
            <v>賞味期限残期間ﾃｰﾌﾞﾙ読込ｻﾌﾞ</v>
          </cell>
          <cell r="D116">
            <v>52</v>
          </cell>
        </row>
        <row r="117">
          <cell r="B117" t="str">
            <v>IEL52001</v>
          </cell>
          <cell r="C117" t="str">
            <v>品質区分変更ﾁｪｯｸｻﾌﾞ</v>
          </cell>
          <cell r="D117">
            <v>1388</v>
          </cell>
        </row>
        <row r="118">
          <cell r="B118" t="str">
            <v>IEL53001</v>
          </cell>
          <cell r="C118" t="str">
            <v>品質区分変更引当ｻﾌﾞ</v>
          </cell>
          <cell r="D118">
            <v>890</v>
          </cell>
        </row>
        <row r="119">
          <cell r="B119" t="str">
            <v>IEP01001</v>
          </cell>
          <cell r="C119" t="str">
            <v>ﾒｯｾｰｼﾞ変換ｻﾌﾞ</v>
          </cell>
          <cell r="D119">
            <v>4955</v>
          </cell>
        </row>
        <row r="120">
          <cell r="B120" t="str">
            <v>IEP02001</v>
          </cell>
          <cell r="C120" t="str">
            <v>販売可能DB更新ｻﾌﾞ</v>
          </cell>
          <cell r="D120">
            <v>618</v>
          </cell>
        </row>
        <row r="121">
          <cell r="B121" t="str">
            <v>IEP03001</v>
          </cell>
          <cell r="C121" t="str">
            <v>自動採番処理</v>
          </cell>
          <cell r="D121">
            <v>797</v>
          </cell>
        </row>
        <row r="122">
          <cell r="B122" t="str">
            <v>IEP04001</v>
          </cell>
          <cell r="C122" t="str">
            <v>ﾁｪｯｸﾃﾞｼﾞｯﾄ処理</v>
          </cell>
          <cell r="D122">
            <v>116</v>
          </cell>
        </row>
        <row r="123">
          <cell r="B123" t="str">
            <v>IEP05001</v>
          </cell>
          <cell r="C123" t="str">
            <v>ﾁｪｯｸﾃﾞｼﾞｯﾄ判定ｻﾌﾞ</v>
          </cell>
          <cell r="D123">
            <v>117</v>
          </cell>
        </row>
        <row r="124">
          <cell r="B124" t="str">
            <v>IEP06001</v>
          </cell>
          <cell r="C124" t="str">
            <v>製造ﾛｯﾄ区分ﾁｪｯｸ</v>
          </cell>
          <cell r="D124">
            <v>455</v>
          </cell>
        </row>
        <row r="125">
          <cell r="B125" t="str">
            <v>IEP07001</v>
          </cell>
          <cell r="C125" t="str">
            <v>販売B管理ｺｰﾄﾞ決定ｻﾌﾞ</v>
          </cell>
          <cell r="D125">
            <v>85</v>
          </cell>
        </row>
        <row r="126">
          <cell r="B126" t="str">
            <v>IEP08001</v>
          </cell>
          <cell r="C126" t="str">
            <v>届け先販売B決定ｻﾌﾞ</v>
          </cell>
          <cell r="D126">
            <v>459</v>
          </cell>
        </row>
        <row r="127">
          <cell r="B127" t="str">
            <v>IEP09002</v>
          </cell>
          <cell r="C127" t="str">
            <v>製造伺い書作成ｻﾌﾞ</v>
          </cell>
          <cell r="D127">
            <v>387</v>
          </cell>
        </row>
        <row r="128">
          <cell r="B128" t="str">
            <v>IEP10001</v>
          </cell>
          <cell r="C128" t="str">
            <v>伝票№ﾁｪｯｸｻﾌﾞ</v>
          </cell>
          <cell r="D128">
            <v>147</v>
          </cell>
        </row>
        <row r="129">
          <cell r="B129" t="str">
            <v>IEP11001</v>
          </cell>
          <cell r="C129" t="str">
            <v>受払DB更新処理</v>
          </cell>
          <cell r="D129">
            <v>1924</v>
          </cell>
        </row>
        <row r="130">
          <cell r="B130" t="str">
            <v>IEP11002</v>
          </cell>
          <cell r="C130" t="str">
            <v>受払DB更新処理</v>
          </cell>
          <cell r="D130">
            <v>1989</v>
          </cell>
        </row>
        <row r="131">
          <cell r="B131" t="str">
            <v>IEP12001</v>
          </cell>
          <cell r="C131" t="str">
            <v>帳合い決定ｻﾌﾞ</v>
          </cell>
          <cell r="D131">
            <v>1153</v>
          </cell>
        </row>
        <row r="132">
          <cell r="B132" t="str">
            <v>IEP13001</v>
          </cell>
          <cell r="C132" t="str">
            <v>需給DB更新ｻﾌﾞ</v>
          </cell>
          <cell r="D132">
            <v>2614</v>
          </cell>
        </row>
        <row r="133">
          <cell r="B133" t="str">
            <v>IEP14001</v>
          </cell>
          <cell r="C133" t="str">
            <v>需給ﾏｲﾅｽﾘｽﾄ出力</v>
          </cell>
          <cell r="D133">
            <v>156</v>
          </cell>
        </row>
        <row r="134">
          <cell r="B134" t="str">
            <v>IEP15001</v>
          </cell>
          <cell r="C134" t="str">
            <v>物流ｴﾘｱ管理部署ﾁｪｯｸ</v>
          </cell>
          <cell r="D134">
            <v>22</v>
          </cell>
        </row>
        <row r="135">
          <cell r="B135" t="str">
            <v>IEP16001</v>
          </cell>
          <cell r="C135" t="str">
            <v>休日ﾁｪｯｸ</v>
          </cell>
          <cell r="D135">
            <v>93</v>
          </cell>
        </row>
        <row r="136">
          <cell r="B136" t="str">
            <v>IEP17001</v>
          </cell>
          <cell r="C136" t="str">
            <v>帳合い変換ｻﾌﾞ</v>
          </cell>
          <cell r="D136">
            <v>110</v>
          </cell>
        </row>
        <row r="137">
          <cell r="B137" t="str">
            <v>IEP18001</v>
          </cell>
          <cell r="C137" t="str">
            <v>SF物流変換</v>
          </cell>
          <cell r="D137">
            <v>162</v>
          </cell>
        </row>
        <row r="138">
          <cell r="B138" t="str">
            <v>IEP19001</v>
          </cell>
          <cell r="C138" t="str">
            <v>需給DB読み込みｻﾌﾞ</v>
          </cell>
          <cell r="D138">
            <v>190</v>
          </cell>
        </row>
        <row r="139">
          <cell r="B139" t="str">
            <v>IEP21001</v>
          </cell>
          <cell r="C139" t="str">
            <v>受払品質区分決定</v>
          </cell>
          <cell r="D139">
            <v>217</v>
          </cell>
        </row>
        <row r="140">
          <cell r="B140" t="str">
            <v>IEP26001</v>
          </cell>
          <cell r="C140" t="str">
            <v>休日ﾁｪｯｸ</v>
          </cell>
          <cell r="D140">
            <v>93</v>
          </cell>
        </row>
        <row r="141">
          <cell r="B141" t="str">
            <v>IEP29001</v>
          </cell>
          <cell r="C141" t="str">
            <v>需給DB振り分けPGM</v>
          </cell>
          <cell r="D141">
            <v>34</v>
          </cell>
        </row>
        <row r="142">
          <cell r="B142" t="str">
            <v>IEP31001</v>
          </cell>
          <cell r="C142" t="str">
            <v>製造ﾛｯﾄ決定（ﾁｪｯｸ）</v>
          </cell>
          <cell r="D142">
            <v>541</v>
          </cell>
        </row>
        <row r="143">
          <cell r="B143" t="str">
            <v>IEP32001</v>
          </cell>
          <cell r="C143" t="str">
            <v>製造ﾛｯﾄ別在庫更新</v>
          </cell>
          <cell r="D143">
            <v>855</v>
          </cell>
        </row>
        <row r="144">
          <cell r="B144" t="str">
            <v>IEP33001</v>
          </cell>
          <cell r="C144" t="str">
            <v>製造ﾛｯﾄ別在庫算出</v>
          </cell>
          <cell r="D144">
            <v>507</v>
          </cell>
        </row>
        <row r="145">
          <cell r="B145" t="str">
            <v>IEP34001</v>
          </cell>
          <cell r="C145" t="str">
            <v>未判定ﾁｪｯｸｻﾌﾞ</v>
          </cell>
          <cell r="D145">
            <v>830</v>
          </cell>
        </row>
        <row r="146">
          <cell r="B146" t="str">
            <v>IEP35002</v>
          </cell>
          <cell r="C146" t="str">
            <v>賞味期限算出（日別管理）</v>
          </cell>
          <cell r="D146">
            <v>199</v>
          </cell>
        </row>
        <row r="147">
          <cell r="B147" t="str">
            <v>IEP43001</v>
          </cell>
          <cell r="C147" t="str">
            <v>製造ﾛｯﾄ別在庫TBL更新</v>
          </cell>
          <cell r="D147">
            <v>4164</v>
          </cell>
        </row>
        <row r="148">
          <cell r="B148" t="str">
            <v>IEP45001</v>
          </cell>
          <cell r="C148" t="str">
            <v>ﾌﾞﾗﾝﾄﾞEGHC→代表EGHC変換</v>
          </cell>
          <cell r="D148">
            <v>191</v>
          </cell>
        </row>
        <row r="149">
          <cell r="B149" t="str">
            <v>IET90001</v>
          </cell>
          <cell r="C149" t="str">
            <v>ｴﾗｰﾒｯｾｰｼﾞ取得ｻﾌﾞ</v>
          </cell>
          <cell r="D149">
            <v>497</v>
          </cell>
        </row>
        <row r="150">
          <cell r="B150" t="str">
            <v>IET91001</v>
          </cell>
          <cell r="C150" t="str">
            <v>IET510TB I/Oｻﾌﾞ</v>
          </cell>
          <cell r="D150">
            <v>401</v>
          </cell>
        </row>
        <row r="151">
          <cell r="B151" t="str">
            <v>IET92001</v>
          </cell>
          <cell r="C151" t="str">
            <v>IET520TB I/Oｻﾌﾞ</v>
          </cell>
          <cell r="D151">
            <v>294</v>
          </cell>
        </row>
        <row r="152">
          <cell r="B152" t="str">
            <v>IET95001</v>
          </cell>
          <cell r="C152" t="str">
            <v>IET550TB I/Oｻﾌﾞ</v>
          </cell>
          <cell r="D152">
            <v>342</v>
          </cell>
        </row>
        <row r="153">
          <cell r="B153" t="str">
            <v>IEU50001</v>
          </cell>
          <cell r="C153" t="str">
            <v>外字変換ｻﾌﾞ</v>
          </cell>
          <cell r="D153">
            <v>125</v>
          </cell>
        </row>
        <row r="154">
          <cell r="B154" t="str">
            <v>ISD02001</v>
          </cell>
          <cell r="C154" t="str">
            <v>通関作業（検索）ｻﾌﾞ</v>
          </cell>
          <cell r="D154">
            <v>1757</v>
          </cell>
        </row>
        <row r="155">
          <cell r="B155" t="str">
            <v>ISD02002</v>
          </cell>
          <cell r="C155" t="str">
            <v>通関作業（ﾁｪｯｸｻﾌﾞ</v>
          </cell>
          <cell r="D155">
            <v>3378</v>
          </cell>
        </row>
        <row r="156">
          <cell r="B156" t="str">
            <v>ISD02003</v>
          </cell>
          <cell r="C156" t="str">
            <v>通関作業（更新）ｻﾌﾞ</v>
          </cell>
          <cell r="D156">
            <v>3803</v>
          </cell>
        </row>
        <row r="157">
          <cell r="B157" t="str">
            <v>ISD02004</v>
          </cell>
          <cell r="C157" t="str">
            <v>通関作業（DEFALT　SET）ｻﾌﾞ</v>
          </cell>
          <cell r="D157">
            <v>785</v>
          </cell>
        </row>
        <row r="158">
          <cell r="B158" t="str">
            <v>ISD05001</v>
          </cell>
          <cell r="C158" t="str">
            <v>営業日ﾁｪｯｸｻﾌﾞ</v>
          </cell>
          <cell r="D158">
            <v>173</v>
          </cell>
        </row>
        <row r="159">
          <cell r="B159" t="str">
            <v>ISD06001</v>
          </cell>
          <cell r="C159" t="str">
            <v>部署ｺｰﾄﾞﾁｪｯｸｻﾌﾞ</v>
          </cell>
          <cell r="D159">
            <v>64</v>
          </cell>
        </row>
        <row r="160">
          <cell r="B160" t="str">
            <v>ISD07001</v>
          </cell>
          <cell r="C160" t="str">
            <v>受払ｺｰﾄﾞﾁｪｯｸｻﾌﾞ</v>
          </cell>
          <cell r="D160">
            <v>58</v>
          </cell>
        </row>
        <row r="161">
          <cell r="B161" t="str">
            <v>ISD08001</v>
          </cell>
          <cell r="C161" t="str">
            <v>割り込み更新ﾁｪｯｸｻﾌﾞ</v>
          </cell>
          <cell r="D161">
            <v>307</v>
          </cell>
        </row>
        <row r="162">
          <cell r="B162" t="str">
            <v>ISD10001</v>
          </cell>
          <cell r="C162" t="str">
            <v>通関状況DB更新ｻﾌﾞ</v>
          </cell>
          <cell r="D162">
            <v>323</v>
          </cell>
        </row>
        <row r="163">
          <cell r="B163" t="str">
            <v>ISD19001</v>
          </cell>
          <cell r="C163" t="str">
            <v>通関管理倉庫ﾁｪｯｸｻﾌﾞ</v>
          </cell>
          <cell r="D163">
            <v>278</v>
          </cell>
        </row>
        <row r="164">
          <cell r="B164" t="str">
            <v>ISD20001</v>
          </cell>
          <cell r="C164" t="str">
            <v>通関管理品目ﾁｪｯｸｻﾌﾞ</v>
          </cell>
          <cell r="D164">
            <v>289</v>
          </cell>
        </row>
        <row r="165">
          <cell r="B165" t="str">
            <v>ISD21001</v>
          </cell>
          <cell r="C165" t="str">
            <v>通関管理№取得ｻﾌﾞ</v>
          </cell>
          <cell r="D165">
            <v>110</v>
          </cell>
        </row>
        <row r="166">
          <cell r="B166" t="str">
            <v>ISX03001</v>
          </cell>
          <cell r="C166" t="str">
            <v>ﾒｯｾｰｼﾞ変換ｻﾌﾞ</v>
          </cell>
          <cell r="D166">
            <v>950</v>
          </cell>
        </row>
        <row r="167">
          <cell r="B167" t="str">
            <v>JXALLOGW</v>
          </cell>
        </row>
        <row r="168">
          <cell r="B168" t="str">
            <v>LASTDAY</v>
          </cell>
          <cell r="C168" t="str">
            <v>月末日算出ｻﾌﾞ</v>
          </cell>
          <cell r="D168">
            <v>74</v>
          </cell>
        </row>
        <row r="169">
          <cell r="B169" t="str">
            <v>LCA11010</v>
          </cell>
          <cell r="C169" t="str">
            <v>輸送情報取得</v>
          </cell>
          <cell r="D169">
            <v>731</v>
          </cell>
        </row>
        <row r="170">
          <cell r="B170" t="str">
            <v>LCA11011</v>
          </cell>
          <cell r="C170" t="str">
            <v>輸送情報取得</v>
          </cell>
          <cell r="D170">
            <v>1038</v>
          </cell>
        </row>
        <row r="171">
          <cell r="B171" t="str">
            <v>LCA91020</v>
          </cell>
          <cell r="C171" t="str">
            <v>移動数情報の取得</v>
          </cell>
          <cell r="D171">
            <v>687</v>
          </cell>
        </row>
        <row r="172">
          <cell r="B172" t="str">
            <v>LCD01030</v>
          </cell>
          <cell r="C172" t="str">
            <v>供給減管理M検索</v>
          </cell>
          <cell r="D172">
            <v>280</v>
          </cell>
        </row>
        <row r="173">
          <cell r="B173" t="str">
            <v>LYA10001</v>
          </cell>
          <cell r="C173" t="str">
            <v>ﾛｯﾄ丸めﾏｽﾀｰ読み込みｻﾌﾞ</v>
          </cell>
          <cell r="D173">
            <v>264</v>
          </cell>
        </row>
        <row r="174">
          <cell r="B174" t="str">
            <v>LYA11001</v>
          </cell>
          <cell r="C174" t="str">
            <v>ﾛｯﾄ丸め処理</v>
          </cell>
          <cell r="D174">
            <v>158</v>
          </cell>
        </row>
        <row r="175">
          <cell r="B175" t="str">
            <v>NUMCHECK</v>
          </cell>
          <cell r="C175" t="str">
            <v>数字チェック</v>
          </cell>
          <cell r="D175">
            <v>231</v>
          </cell>
        </row>
        <row r="176">
          <cell r="B176" t="str">
            <v>OEK01001</v>
          </cell>
          <cell r="C176" t="str">
            <v>割り当てDBﾁｪｯｸ＆更新ｻﾌﾞ</v>
          </cell>
          <cell r="D176">
            <v>957</v>
          </cell>
        </row>
        <row r="177">
          <cell r="B177" t="str">
            <v>OEK03001</v>
          </cell>
          <cell r="C177" t="str">
            <v>輸送決定ｻﾌﾞ</v>
          </cell>
          <cell r="D177">
            <v>751</v>
          </cell>
        </row>
        <row r="178">
          <cell r="B178" t="str">
            <v>OEK04001</v>
          </cell>
          <cell r="C178" t="str">
            <v>輸送方法ﾁｪｯｸ</v>
          </cell>
          <cell r="D178">
            <v>94</v>
          </cell>
        </row>
        <row r="179">
          <cell r="B179" t="str">
            <v>OEK05001</v>
          </cell>
          <cell r="C179" t="str">
            <v>倉庫仮決定ｻﾌﾞ</v>
          </cell>
          <cell r="D179">
            <v>1389</v>
          </cell>
        </row>
        <row r="180">
          <cell r="B180" t="str">
            <v>OEK06001</v>
          </cell>
          <cell r="C180" t="str">
            <v>SSC景品ﾁｪｯｸｻﾌﾞ</v>
          </cell>
          <cell r="D180">
            <v>98</v>
          </cell>
        </row>
        <row r="181">
          <cell r="B181" t="str">
            <v>OEK11001</v>
          </cell>
          <cell r="C181" t="str">
            <v>割り当てDBﾁｪｯｸ＆更新</v>
          </cell>
          <cell r="D181">
            <v>1050</v>
          </cell>
        </row>
        <row r="182">
          <cell r="B182" t="str">
            <v>OEK12001</v>
          </cell>
          <cell r="C182" t="str">
            <v>割り当てDB販売B算出</v>
          </cell>
          <cell r="D182">
            <v>223</v>
          </cell>
        </row>
        <row r="183">
          <cell r="B183" t="str">
            <v>OEK31001</v>
          </cell>
          <cell r="C183" t="str">
            <v>景品決定ｻﾌﾞ</v>
          </cell>
          <cell r="D183">
            <v>477</v>
          </cell>
        </row>
        <row r="184">
          <cell r="B184" t="str">
            <v>OEK51001</v>
          </cell>
          <cell r="C184" t="str">
            <v>経費経理要件ﾁｪｯｸｻﾌﾞ</v>
          </cell>
          <cell r="D184">
            <v>2468</v>
          </cell>
        </row>
        <row r="185">
          <cell r="B185" t="str">
            <v>OEK53001</v>
          </cell>
          <cell r="C185" t="str">
            <v>輸送決定ｻﾌﾞ</v>
          </cell>
          <cell r="D185">
            <v>761</v>
          </cell>
        </row>
        <row r="186">
          <cell r="B186" t="str">
            <v>OEK61001</v>
          </cell>
          <cell r="C186" t="str">
            <v>ｴﾘｱﾌﾞﾛｯｸ対応ﾃｰﾌﾞﾙ作成</v>
          </cell>
          <cell r="D186">
            <v>248</v>
          </cell>
        </row>
        <row r="187">
          <cell r="B187" t="str">
            <v>OEK63001</v>
          </cell>
          <cell r="C187" t="str">
            <v>許容数ﾁｪｯｸｻﾌﾞ</v>
          </cell>
          <cell r="D187">
            <v>545</v>
          </cell>
        </row>
        <row r="188">
          <cell r="B188" t="str">
            <v>OEK64001</v>
          </cell>
          <cell r="C188" t="str">
            <v>枠残、出荷可能残算出</v>
          </cell>
          <cell r="D188">
            <v>261</v>
          </cell>
        </row>
        <row r="189">
          <cell r="B189" t="str">
            <v>OEK71001</v>
          </cell>
          <cell r="C189" t="str">
            <v>社内移動許容数ﾁｪｯｸｻﾌﾞ</v>
          </cell>
          <cell r="D189">
            <v>227</v>
          </cell>
        </row>
        <row r="190">
          <cell r="B190" t="str">
            <v>OEK81001</v>
          </cell>
          <cell r="C190" t="str">
            <v>損益部門ﾁｪｯｸｻﾌﾞ</v>
          </cell>
          <cell r="D190">
            <v>218</v>
          </cell>
        </row>
        <row r="191">
          <cell r="B191" t="str">
            <v>OEN01001</v>
          </cell>
          <cell r="C191" t="str">
            <v>ﾏｽﾀﾁｪｯｸｻﾌﾞ</v>
          </cell>
          <cell r="D191">
            <v>1312</v>
          </cell>
        </row>
        <row r="192">
          <cell r="B192" t="str">
            <v>OEN01002</v>
          </cell>
          <cell r="C192" t="str">
            <v>ｲﾝﾌﾟｯﾄ項目ﾁｪｯｸｻﾌﾞ</v>
          </cell>
          <cell r="D192">
            <v>1060</v>
          </cell>
        </row>
        <row r="193">
          <cell r="B193" t="str">
            <v>OEN01003</v>
          </cell>
          <cell r="C193" t="str">
            <v>届け先ｺｰﾄﾞﾁｪｯｸｻﾌﾞ</v>
          </cell>
          <cell r="D193">
            <v>70</v>
          </cell>
        </row>
        <row r="194">
          <cell r="B194" t="str">
            <v>OEN01004</v>
          </cell>
          <cell r="C194" t="str">
            <v>ﾊﾟﾚｯﾄ契約種類決定</v>
          </cell>
          <cell r="D194">
            <v>110</v>
          </cell>
        </row>
        <row r="195">
          <cell r="B195" t="str">
            <v>OEN01005</v>
          </cell>
          <cell r="C195" t="str">
            <v>経理要件決定M検索ｻﾌﾞ</v>
          </cell>
          <cell r="D195">
            <v>152</v>
          </cell>
        </row>
        <row r="196">
          <cell r="B196" t="str">
            <v>OEN01007</v>
          </cell>
          <cell r="C196" t="str">
            <v>流通ｺｰﾄﾞ変換</v>
          </cell>
          <cell r="D196">
            <v>70</v>
          </cell>
        </row>
        <row r="197">
          <cell r="B197" t="str">
            <v>OEN01008</v>
          </cell>
          <cell r="C197" t="str">
            <v>SF用ﾏｽﾀﾁｪｯｸｻﾌﾞ</v>
          </cell>
          <cell r="D197">
            <v>1346</v>
          </cell>
        </row>
        <row r="198">
          <cell r="B198" t="str">
            <v>OEN01010</v>
          </cell>
          <cell r="C198" t="str">
            <v>受注DBﾛｹｰｼｮﾝKEY検索</v>
          </cell>
          <cell r="D198">
            <v>69</v>
          </cell>
        </row>
        <row r="199">
          <cell r="B199" t="str">
            <v>OEN01011</v>
          </cell>
          <cell r="C199" t="str">
            <v>受注DB検索</v>
          </cell>
          <cell r="D199">
            <v>47</v>
          </cell>
        </row>
        <row r="200">
          <cell r="B200" t="str">
            <v>OEN01012</v>
          </cell>
          <cell r="C200" t="str">
            <v>受注DB更新ｻﾌﾞ</v>
          </cell>
          <cell r="D200">
            <v>31</v>
          </cell>
        </row>
        <row r="201">
          <cell r="B201" t="str">
            <v>OEN21001</v>
          </cell>
          <cell r="C201" t="str">
            <v>補給社内移動ﾃﾞｰﾀ更新</v>
          </cell>
          <cell r="D201">
            <v>139</v>
          </cell>
        </row>
        <row r="202">
          <cell r="B202" t="str">
            <v>OEN22001</v>
          </cell>
          <cell r="C202" t="str">
            <v>需給DB更新</v>
          </cell>
          <cell r="D202">
            <v>218</v>
          </cell>
        </row>
        <row r="203">
          <cell r="B203" t="str">
            <v>OEN23001</v>
          </cell>
          <cell r="C203" t="str">
            <v>補給社内移動ﾃﾞｰﾀ更新</v>
          </cell>
          <cell r="D203">
            <v>581</v>
          </cell>
        </row>
        <row r="204">
          <cell r="B204" t="str">
            <v>OEN41001</v>
          </cell>
          <cell r="C204" t="str">
            <v>相手先ﾏｽﾀ（マケ情報）ﾁｪｯｸｻﾌﾞ</v>
          </cell>
          <cell r="D204">
            <v>364</v>
          </cell>
        </row>
        <row r="205">
          <cell r="B205" t="str">
            <v>OEO62001</v>
          </cell>
          <cell r="C205" t="str">
            <v>ﾏｽﾀﾁｪｯｸｻﾌﾞ</v>
          </cell>
          <cell r="D205">
            <v>1373</v>
          </cell>
        </row>
        <row r="206">
          <cell r="B206" t="str">
            <v>OYA11001</v>
          </cell>
          <cell r="C206" t="str">
            <v>倉庫別多段階ｻﾌﾞ</v>
          </cell>
          <cell r="D206">
            <v>2321</v>
          </cell>
        </row>
        <row r="207">
          <cell r="B207" t="str">
            <v>OYA21001</v>
          </cell>
          <cell r="C207" t="str">
            <v>倉庫別多段階引当ｻﾌﾞ</v>
          </cell>
          <cell r="D207">
            <v>2276</v>
          </cell>
        </row>
        <row r="208">
          <cell r="B208" t="str">
            <v>OYA32001</v>
          </cell>
          <cell r="C208" t="str">
            <v>同一受払場所優先順位取得ｻﾌﾞ</v>
          </cell>
          <cell r="D208">
            <v>331</v>
          </cell>
        </row>
        <row r="209">
          <cell r="B209" t="str">
            <v>OYA33001</v>
          </cell>
          <cell r="C209" t="str">
            <v>倉庫別引当ｻﾌﾞ</v>
          </cell>
          <cell r="D209">
            <v>836</v>
          </cell>
        </row>
        <row r="210">
          <cell r="B210" t="str">
            <v>OYA34001</v>
          </cell>
          <cell r="C210" t="str">
            <v>配送曜日ﾁｪｯｸ＆ｽﾗｲﾄﾞｻﾌﾞ</v>
          </cell>
          <cell r="D210">
            <v>376</v>
          </cell>
        </row>
        <row r="211">
          <cell r="B211" t="str">
            <v>OYA35001</v>
          </cell>
          <cell r="C211" t="str">
            <v>緊急社内移動ﾁｪｯｸ＆ｽﾗｲﾄﾞ</v>
          </cell>
          <cell r="D211">
            <v>305</v>
          </cell>
        </row>
        <row r="212">
          <cell r="B212" t="str">
            <v>OYA36001</v>
          </cell>
          <cell r="C212" t="str">
            <v>在庫引当期間ﾁｪｯｸｻﾌﾞ</v>
          </cell>
          <cell r="D212">
            <v>224</v>
          </cell>
        </row>
        <row r="213">
          <cell r="B213" t="str">
            <v>OYA37001</v>
          </cell>
          <cell r="C213" t="str">
            <v>倉庫休日ﾁｪｯｸ＆ｽﾗｲﾄﾞｻﾌﾞ</v>
          </cell>
          <cell r="D213">
            <v>748</v>
          </cell>
        </row>
        <row r="214">
          <cell r="B214" t="str">
            <v>OYA38001</v>
          </cell>
          <cell r="C214" t="str">
            <v>一部引当ｻﾌﾞ</v>
          </cell>
          <cell r="D214">
            <v>748</v>
          </cell>
        </row>
        <row r="215">
          <cell r="B215" t="str">
            <v>OYA40001</v>
          </cell>
          <cell r="C215" t="str">
            <v>曜日算出ｻﾌﾞ</v>
          </cell>
          <cell r="D215">
            <v>219</v>
          </cell>
        </row>
        <row r="216">
          <cell r="B216" t="str">
            <v>OYA42001</v>
          </cell>
          <cell r="C216" t="str">
            <v>補充社内移動受払倉庫決定ｻﾌﾞ</v>
          </cell>
          <cell r="D216">
            <v>546</v>
          </cell>
        </row>
        <row r="217">
          <cell r="B217" t="str">
            <v>OYA43001</v>
          </cell>
          <cell r="C217" t="str">
            <v>需給ﾚｺｰﾄﾞ編集ｻﾌﾞ</v>
          </cell>
          <cell r="D217">
            <v>292</v>
          </cell>
        </row>
        <row r="218">
          <cell r="B218" t="str">
            <v>OYA44001</v>
          </cell>
          <cell r="C218" t="str">
            <v>倉庫適用終了日算出ｻﾌﾞ</v>
          </cell>
          <cell r="D218">
            <v>525</v>
          </cell>
        </row>
        <row r="219">
          <cell r="B219" t="str">
            <v>OYA45001</v>
          </cell>
          <cell r="C219" t="str">
            <v>供給減補充引当ｻﾌﾞ</v>
          </cell>
          <cell r="D219">
            <v>4405</v>
          </cell>
        </row>
        <row r="220">
          <cell r="B220" t="str">
            <v>OYA46001</v>
          </cell>
          <cell r="C220" t="str">
            <v>供給減補充引当ｻﾌﾞ</v>
          </cell>
          <cell r="D220">
            <v>4477</v>
          </cell>
        </row>
        <row r="221">
          <cell r="B221" t="str">
            <v>OYB09010</v>
          </cell>
          <cell r="C221" t="str">
            <v>ﾒｯｾｰｼﾞ変換ｻﾌﾞ</v>
          </cell>
          <cell r="D221">
            <v>707</v>
          </cell>
        </row>
        <row r="222">
          <cell r="B222" t="str">
            <v>OYC01001</v>
          </cell>
          <cell r="C222" t="str">
            <v>出荷日延長不可ﾏｽﾀ検索</v>
          </cell>
          <cell r="D222">
            <v>183</v>
          </cell>
        </row>
        <row r="223">
          <cell r="B223" t="str">
            <v>OYC02001</v>
          </cell>
          <cell r="C223" t="str">
            <v>在庫引当期間ﾏｽﾀ検索</v>
          </cell>
          <cell r="D223">
            <v>143</v>
          </cell>
        </row>
        <row r="224">
          <cell r="B224" t="str">
            <v>OYC03001</v>
          </cell>
          <cell r="C224" t="str">
            <v>緊急社内移動ﾙｰﾄﾏｽﾀ読み込みｻﾌﾞ</v>
          </cell>
          <cell r="D224">
            <v>192</v>
          </cell>
        </row>
        <row r="225">
          <cell r="B225" t="str">
            <v>OYC04001</v>
          </cell>
          <cell r="C225" t="str">
            <v>配送曜日ﾏｽﾀ検索ｻﾌﾞ</v>
          </cell>
          <cell r="D225">
            <v>160</v>
          </cell>
        </row>
        <row r="226">
          <cell r="B226" t="str">
            <v>OYC05001</v>
          </cell>
          <cell r="C226" t="str">
            <v>同一受払場所引当優先順位ﾏｽﾀ読み込みｻﾌﾞ</v>
          </cell>
          <cell r="D226">
            <v>221</v>
          </cell>
        </row>
        <row r="227">
          <cell r="B227" t="str">
            <v>PRNTDATE</v>
          </cell>
          <cell r="C227" t="str">
            <v>帳票日付取得ｻﾌﾞ</v>
          </cell>
          <cell r="D227">
            <v>342</v>
          </cell>
        </row>
        <row r="228">
          <cell r="B228" t="str">
            <v>PRNTTIME</v>
          </cell>
          <cell r="C228" t="str">
            <v>帳票時刻取得ｻﾌﾞ</v>
          </cell>
          <cell r="D228">
            <v>57</v>
          </cell>
        </row>
        <row r="229">
          <cell r="B229" t="str">
            <v>SAD20001</v>
          </cell>
          <cell r="C229" t="str">
            <v>品目ﾏｽﾀ索引（社内移動計画用）ｻﾌﾞ</v>
          </cell>
          <cell r="D229">
            <v>218</v>
          </cell>
        </row>
        <row r="230">
          <cell r="B230" t="str">
            <v>SAD21001</v>
          </cell>
          <cell r="C230" t="str">
            <v>社内移動決定ﾏｽﾀ（社内移動計画）読み込みｻﾌﾞ</v>
          </cell>
          <cell r="D230">
            <v>909</v>
          </cell>
        </row>
        <row r="231">
          <cell r="B231" t="str">
            <v>SAD51001</v>
          </cell>
          <cell r="C231" t="str">
            <v>社内移動許容数ﾁｪｯｸｻﾌﾞ</v>
          </cell>
          <cell r="D231">
            <v>400</v>
          </cell>
        </row>
        <row r="232">
          <cell r="B232" t="str">
            <v>SAD52001</v>
          </cell>
          <cell r="C232" t="str">
            <v>社内移動応援製造ﾁｪｯｸｻﾌﾞ</v>
          </cell>
          <cell r="D232">
            <v>373</v>
          </cell>
        </row>
        <row r="233">
          <cell r="B233" t="str">
            <v>SAD53001</v>
          </cell>
          <cell r="C233" t="str">
            <v>社内移動事由部署決定</v>
          </cell>
          <cell r="D233">
            <v>158</v>
          </cell>
        </row>
        <row r="234">
          <cell r="B234" t="str">
            <v>SAD56001</v>
          </cell>
          <cell r="C234" t="str">
            <v>休日ﾁｪｯｸ/営業日変換</v>
          </cell>
          <cell r="D234">
            <v>114</v>
          </cell>
        </row>
        <row r="235">
          <cell r="B235" t="str">
            <v>SAD70002</v>
          </cell>
          <cell r="C235" t="str">
            <v>社内移動計画DBﾁｪｯｸ&amp;更新</v>
          </cell>
          <cell r="D235">
            <v>7084</v>
          </cell>
        </row>
        <row r="236">
          <cell r="B236" t="str">
            <v>SAD71002</v>
          </cell>
          <cell r="C236" t="str">
            <v>社内移動計画ｼｽﾃﾑﾁｪｯｸｻﾌﾞ</v>
          </cell>
          <cell r="D236">
            <v>7410</v>
          </cell>
        </row>
        <row r="237">
          <cell r="B237" t="str">
            <v>SAF92001</v>
          </cell>
          <cell r="C237" t="str">
            <v>営業日算出</v>
          </cell>
          <cell r="D237">
            <v>109</v>
          </cell>
        </row>
        <row r="238">
          <cell r="B238" t="str">
            <v>SAW01040</v>
          </cell>
          <cell r="C238" t="str">
            <v>社内移動未納税倉庫受入ﾁｪｯｸｻﾌﾞ</v>
          </cell>
          <cell r="D238">
            <v>336</v>
          </cell>
        </row>
        <row r="239">
          <cell r="B239" t="str">
            <v>SAW01051</v>
          </cell>
          <cell r="C239" t="str">
            <v>翌営業日決定ｻﾌﾞ</v>
          </cell>
          <cell r="D239">
            <v>98</v>
          </cell>
        </row>
        <row r="240">
          <cell r="B240" t="str">
            <v>SUBDATE</v>
          </cell>
          <cell r="C240" t="str">
            <v>日付取得ｻﾌﾞ</v>
          </cell>
          <cell r="D240">
            <v>316</v>
          </cell>
        </row>
        <row r="241">
          <cell r="B241" t="str">
            <v>SUBDATEX</v>
          </cell>
          <cell r="C241" t="str">
            <v>日付取得ｻﾌﾞ</v>
          </cell>
          <cell r="D241">
            <v>322</v>
          </cell>
        </row>
        <row r="242">
          <cell r="B242" t="str">
            <v>SUBDISP</v>
          </cell>
          <cell r="C242" t="str">
            <v>ﾃﾞｨｽﾌﾟﾚｲｻﾌﾞ</v>
          </cell>
          <cell r="D242">
            <v>33</v>
          </cell>
        </row>
        <row r="243">
          <cell r="B243" t="str">
            <v>SUBDUMP</v>
          </cell>
          <cell r="C243" t="str">
            <v>ｺﾝﾃﾞｨｼｮﾝｺｰﾄﾞ作成SUB</v>
          </cell>
          <cell r="D243">
            <v>39</v>
          </cell>
        </row>
        <row r="244">
          <cell r="B244" t="str">
            <v>SUBINTA</v>
          </cell>
          <cell r="C244" t="str">
            <v>ｶｰﾄﾞ読み込みｻﾌﾞ</v>
          </cell>
          <cell r="D244">
            <v>85</v>
          </cell>
        </row>
        <row r="245">
          <cell r="B245" t="str">
            <v>SUBMCSF</v>
          </cell>
          <cell r="C245" t="str">
            <v>SF変換TBL</v>
          </cell>
          <cell r="D245">
            <v>170</v>
          </cell>
        </row>
        <row r="246">
          <cell r="B246" t="str">
            <v>SUBTBL</v>
          </cell>
          <cell r="C246" t="str">
            <v>ﾃｰﾌﾞﾙｻｰﾁｻﾌﾞ</v>
          </cell>
          <cell r="D246">
            <v>189</v>
          </cell>
        </row>
        <row r="247">
          <cell r="B247" t="str">
            <v>SUBTIME</v>
          </cell>
          <cell r="C247" t="str">
            <v>時刻取得ｻﾌﾞ</v>
          </cell>
          <cell r="D247">
            <v>52</v>
          </cell>
        </row>
        <row r="248">
          <cell r="B248" t="str">
            <v>TIMER</v>
          </cell>
          <cell r="C248" t="str">
            <v>　</v>
          </cell>
          <cell r="D248">
            <v>37</v>
          </cell>
        </row>
        <row r="249">
          <cell r="B249" t="str">
            <v>TSEARCH</v>
          </cell>
          <cell r="C249" t="str">
            <v>ﾃｰﾌﾞﾙｻｰﾁｻﾌﾞ</v>
          </cell>
          <cell r="D249">
            <v>106</v>
          </cell>
        </row>
        <row r="250">
          <cell r="B250" t="str">
            <v>TXG61001</v>
          </cell>
          <cell r="C250" t="str">
            <v>送付先変更</v>
          </cell>
          <cell r="D250">
            <v>155</v>
          </cell>
        </row>
        <row r="251">
          <cell r="B251" t="str">
            <v>TXX01002</v>
          </cell>
          <cell r="C251" t="str">
            <v>単価金額決定ｻﾌﾞ</v>
          </cell>
          <cell r="D251">
            <v>4542</v>
          </cell>
        </row>
        <row r="252">
          <cell r="B252" t="str">
            <v>TXX02002</v>
          </cell>
          <cell r="C252" t="str">
            <v>単価金額決定ｻﾌﾞ</v>
          </cell>
          <cell r="D252">
            <v>1225</v>
          </cell>
        </row>
        <row r="253">
          <cell r="B253" t="str">
            <v>TXX03001</v>
          </cell>
          <cell r="C253" t="str">
            <v>単価金額決定ｻﾌﾞ</v>
          </cell>
          <cell r="D253">
            <v>726</v>
          </cell>
        </row>
        <row r="254">
          <cell r="B254" t="str">
            <v>TXX04001</v>
          </cell>
          <cell r="C254" t="str">
            <v>単価金額決定ｻﾌﾞ</v>
          </cell>
          <cell r="D254">
            <v>1041</v>
          </cell>
        </row>
        <row r="255">
          <cell r="B255" t="str">
            <v>TXX05001</v>
          </cell>
          <cell r="C255" t="str">
            <v>単価金額決定ｻﾌﾞ</v>
          </cell>
          <cell r="D255">
            <v>1078</v>
          </cell>
        </row>
        <row r="256">
          <cell r="B256" t="str">
            <v>TXX06001</v>
          </cell>
          <cell r="C256" t="str">
            <v>単価金額決定ｻﾌﾞ</v>
          </cell>
          <cell r="D256">
            <v>837</v>
          </cell>
        </row>
        <row r="257">
          <cell r="B257" t="str">
            <v>TXX07001</v>
          </cell>
          <cell r="C257" t="str">
            <v>単価金額決定ｻﾌﾞ</v>
          </cell>
          <cell r="D257">
            <v>100</v>
          </cell>
        </row>
        <row r="258">
          <cell r="B258" t="str">
            <v>TXX08001</v>
          </cell>
          <cell r="C258" t="str">
            <v>単価金額決定ｻﾌﾞ</v>
          </cell>
          <cell r="D258">
            <v>551</v>
          </cell>
        </row>
        <row r="259">
          <cell r="B259" t="str">
            <v>YEARCVT1</v>
          </cell>
          <cell r="C259" t="str">
            <v>西暦→年号変換ｻﾌﾞ</v>
          </cell>
          <cell r="D259">
            <v>31</v>
          </cell>
        </row>
        <row r="260">
          <cell r="B260" t="str">
            <v>YEARCVT2</v>
          </cell>
          <cell r="C260" t="str">
            <v>邦暦→西暦変換ｻﾌﾞ</v>
          </cell>
          <cell r="D260">
            <v>31</v>
          </cell>
        </row>
        <row r="261">
          <cell r="B261" t="str">
            <v>YEARCVTX</v>
          </cell>
          <cell r="C261" t="str">
            <v>西暦→邦暦変換ｻﾌﾞ</v>
          </cell>
          <cell r="D261">
            <v>35</v>
          </cell>
        </row>
        <row r="262">
          <cell r="B262" t="str">
            <v>ZYI52001</v>
          </cell>
          <cell r="C262" t="str">
            <v>在庫予約引当ｻﾌﾞ</v>
          </cell>
          <cell r="D262">
            <v>1392</v>
          </cell>
        </row>
        <row r="263">
          <cell r="B263" t="str">
            <v>ZYI55001</v>
          </cell>
          <cell r="C263" t="str">
            <v>在庫予約引当ｻﾌﾞ</v>
          </cell>
          <cell r="D263">
            <v>1242</v>
          </cell>
        </row>
        <row r="264">
          <cell r="B264" t="str">
            <v>ZYI56001</v>
          </cell>
          <cell r="C264" t="str">
            <v>在庫予約引当ｻﾌﾞ</v>
          </cell>
          <cell r="D264">
            <v>1392</v>
          </cell>
        </row>
        <row r="265">
          <cell r="B265" t="str">
            <v>ZYI57001</v>
          </cell>
          <cell r="C265" t="str">
            <v>繰越処理ｽﾗｲﾄﾞｻﾌﾞ</v>
          </cell>
          <cell r="D265">
            <v>426</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ﾌﾟﾛｸﾞﾗﾑ一覧"/>
      <sheetName val="表紙"/>
      <sheetName val="見積書１"/>
      <sheetName val="見積書２"/>
      <sheetName val="GRAPH DATA"/>
      <sheetName val="１月"/>
      <sheetName val="ﾃｰﾌﾞﾙ"/>
      <sheetName val="CAPﾌﾟﾗｲｽﾓﾃﾞﾙ"/>
      <sheetName val="決算レート"/>
      <sheetName val="XLR_NoRangeSheet"/>
      <sheetName val="バリアント一覧"/>
      <sheetName val="データ入力"/>
      <sheetName val="LOOKUP_WK"/>
      <sheetName val="Est96027"/>
      <sheetName val="SUBPGM一覧(参照用)"/>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
      <sheetName val="スケジュール_20050811"/>
      <sheetName val="課題管理"/>
      <sheetName val="#REF"/>
      <sheetName val="tmp"/>
      <sheetName val="鏡"/>
      <sheetName val="部署ﾏｽﾀ"/>
      <sheetName val="LOOKUPWK"/>
      <sheetName val="パラメータシート"/>
      <sheetName val="ﾏｲﾅｽ時0表示"/>
      <sheetName val="マスタシ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伝票一括アップロード"/>
      <sheetName val="区分値"/>
    </sheetNames>
    <sheetDataSet>
      <sheetData sheetId="0" refreshError="1"/>
      <sheetData sheetId="1" refreshError="1">
        <row r="4">
          <cell r="N4" t="str">
            <v>10:卸売店</v>
          </cell>
        </row>
        <row r="5">
          <cell r="N5" t="str">
            <v>11:食系卸店</v>
          </cell>
        </row>
        <row r="6">
          <cell r="N6" t="str">
            <v>20:小売店</v>
          </cell>
        </row>
        <row r="7">
          <cell r="N7" t="str">
            <v>21:業務用小売店</v>
          </cell>
        </row>
        <row r="8">
          <cell r="N8" t="str">
            <v>50:業務店</v>
          </cell>
        </row>
        <row r="9">
          <cell r="N9" t="str">
            <v>80:消費者</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変更履歴 "/>
      <sheetName val="画面レイアウト"/>
      <sheetName val="項目説明"/>
      <sheetName val="項目入力チェック"/>
      <sheetName val="補足説明"/>
      <sheetName val="用紙区分変更時の表示"/>
      <sheetName val="並び替えの注意点"/>
      <sheetName val="tmp"/>
      <sheetName val="社員リスト"/>
      <sheetName val="文書プロパティ"/>
      <sheetName val="Main"/>
    </sheetNames>
    <sheetDataSet>
      <sheetData sheetId="0"/>
      <sheetData sheetId="1"/>
      <sheetData sheetId="2"/>
      <sheetData sheetId="3"/>
      <sheetData sheetId="4"/>
      <sheetData sheetId="5"/>
      <sheetData sheetId="6"/>
      <sheetData sheetId="7"/>
      <sheetData sheetId="8" refreshError="1">
        <row r="6">
          <cell r="N6" t="str">
            <v>文字</v>
          </cell>
        </row>
        <row r="7">
          <cell r="N7" t="str">
            <v>半角文字</v>
          </cell>
        </row>
        <row r="8">
          <cell r="N8" t="str">
            <v>英数字</v>
          </cell>
        </row>
        <row r="9">
          <cell r="N9" t="str">
            <v>英字</v>
          </cell>
        </row>
        <row r="10">
          <cell r="N10" t="str">
            <v>小文字</v>
          </cell>
        </row>
        <row r="11">
          <cell r="N11" t="str">
            <v>大文字</v>
          </cell>
        </row>
        <row r="12">
          <cell r="N12" t="str">
            <v>数字</v>
          </cell>
        </row>
        <row r="13">
          <cell r="N13" t="str">
            <v>実数値</v>
          </cell>
        </row>
        <row r="14">
          <cell r="N14" t="str">
            <v>整数値</v>
          </cell>
        </row>
        <row r="15">
          <cell r="N15" t="str">
            <v>日時</v>
          </cell>
        </row>
        <row r="16">
          <cell r="N16" t="str">
            <v>日付</v>
          </cell>
        </row>
        <row r="17">
          <cell r="N17" t="str">
            <v>時間</v>
          </cell>
        </row>
        <row r="18">
          <cell r="N18" t="str">
            <v>数量</v>
          </cell>
        </row>
        <row r="19">
          <cell r="N19" t="str">
            <v>単価</v>
          </cell>
        </row>
        <row r="20">
          <cell r="N20" t="str">
            <v>金額</v>
          </cell>
        </row>
        <row r="21">
          <cell r="N21" t="str">
            <v>単位</v>
          </cell>
        </row>
      </sheetData>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XLS001"/>
    </sheetNames>
    <definedNames>
      <definedName name="Update_Data"/>
      <definedName name="印刷終了.PrintForm"/>
    </defined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提条件（4・22永田改訂後）"/>
      <sheetName val="前提条件（4・18永田改訂後）"/>
      <sheetName val="前提条件（4・18永田改訂前）"/>
      <sheetName val="（参考）ビジネスロジックの定義"/>
      <sheetName val="（参考）ご提供いただくビジネスロジック一式"/>
      <sheetName val="0422TV会議後修正版"/>
      <sheetName val="設定シート (実装ベース) (0423)"/>
      <sheetName val="設定シート (実装ベース) old"/>
      <sheetName val="設定シート (実装ベース)"/>
      <sheetName val="【20080619】機能一覧UCP (見直中COPY除く）"/>
      <sheetName val="【20080619】機能一覧UCP (見直中COPY含む）"/>
      <sheetName val="【20080424追加】機能一覧UCP (見直後)"/>
      <sheetName val="機能一覧UCP (見直後)"/>
      <sheetName val="①システム化計画 (見直後)"/>
    </sheetNames>
    <sheetDataSet>
      <sheetData sheetId="0"/>
      <sheetData sheetId="1"/>
      <sheetData sheetId="2"/>
      <sheetData sheetId="3"/>
      <sheetData sheetId="4"/>
      <sheetData sheetId="5"/>
      <sheetData sheetId="6"/>
      <sheetData sheetId="7"/>
      <sheetData sheetId="8">
        <row r="5">
          <cell r="B5" t="str">
            <v>S</v>
          </cell>
        </row>
        <row r="6">
          <cell r="B6" t="str">
            <v>A0</v>
          </cell>
        </row>
        <row r="7">
          <cell r="B7" t="str">
            <v>A</v>
          </cell>
        </row>
        <row r="8">
          <cell r="B8" t="str">
            <v>B0</v>
          </cell>
        </row>
        <row r="9">
          <cell r="B9" t="str">
            <v>B</v>
          </cell>
        </row>
        <row r="10">
          <cell r="B10" t="str">
            <v>C0</v>
          </cell>
        </row>
        <row r="11">
          <cell r="B11" t="str">
            <v>C</v>
          </cell>
        </row>
        <row r="12">
          <cell r="B12" t="str">
            <v>D0</v>
          </cell>
        </row>
        <row r="13">
          <cell r="B13" t="str">
            <v>D</v>
          </cell>
        </row>
        <row r="14">
          <cell r="B14" t="str">
            <v>E0</v>
          </cell>
        </row>
        <row r="15">
          <cell r="B15" t="str">
            <v>E</v>
          </cell>
        </row>
      </sheetData>
      <sheetData sheetId="9"/>
      <sheetData sheetId="10"/>
      <sheetData sheetId="11"/>
      <sheetData sheetId="12"/>
      <sheetData sheetId="1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_SYSTEM"/>
      <sheetName val="個別商品予算"/>
      <sheetName val="CONF_SYSTEM.xls"/>
    </sheetNames>
    <definedNames>
      <definedName name="x"/>
    </definedNames>
    <sheetDataSet>
      <sheetData sheetId="0" refreshError="1"/>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フォーマット変更履歴"/>
      <sheetName val="使用方法"/>
      <sheetName val="区分値"/>
      <sheetName val="課題一覧"/>
    </sheetNames>
    <sheetDataSet>
      <sheetData sheetId="0" refreshError="1"/>
      <sheetData sheetId="1" refreshError="1"/>
      <sheetData sheetId="2" refreshError="1">
        <row r="6">
          <cell r="A6" t="str">
            <v>低</v>
          </cell>
          <cell r="B6" t="str">
            <v>不具合起票済み</v>
          </cell>
          <cell r="D6" t="str">
            <v>未着手</v>
          </cell>
        </row>
        <row r="7">
          <cell r="A7" t="str">
            <v>中</v>
          </cell>
          <cell r="B7" t="str">
            <v>変更起票済み</v>
          </cell>
          <cell r="D7" t="str">
            <v>対応中</v>
          </cell>
        </row>
        <row r="8">
          <cell r="A8" t="str">
            <v>高</v>
          </cell>
          <cell r="B8" t="str">
            <v>保留</v>
          </cell>
          <cell r="D8" t="str">
            <v>確認待ち</v>
          </cell>
        </row>
        <row r="9">
          <cell r="B9" t="str">
            <v>取消</v>
          </cell>
          <cell r="D9" t="str">
            <v>差戻し</v>
          </cell>
        </row>
        <row r="10">
          <cell r="D10" t="str">
            <v>完了</v>
          </cell>
        </row>
      </sheetData>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田中利明"/>
      <sheetName val="田中利明 (2)"/>
      <sheetName val="作業集計【田中利明】"/>
      <sheetName val="設定画面"/>
      <sheetName val="作業RPT"/>
      <sheetName val="作業集計"/>
      <sheetName val="作業予定表"/>
      <sheetName val="作業日誌１週 "/>
      <sheetName val="作業日誌２週 "/>
      <sheetName val="作業日誌３週 "/>
      <sheetName val="作業日誌４週 "/>
      <sheetName val="作業日誌５週 "/>
      <sheetName val="作業日誌６週 "/>
      <sheetName val="作業報告書"/>
      <sheetName val="実績集計印刷用"/>
    </sheetNames>
    <sheetDataSet>
      <sheetData sheetId="0"/>
      <sheetData sheetId="1"/>
      <sheetData sheetId="2"/>
      <sheetData sheetId="3" refreshError="1">
        <row r="7">
          <cell r="C7" t="str">
            <v>各種設定</v>
          </cell>
          <cell r="D7" t="str">
            <v>25Q092</v>
          </cell>
          <cell r="E7" t="str">
            <v>8901-00</v>
          </cell>
        </row>
        <row r="8">
          <cell r="C8" t="str">
            <v>各種設定</v>
          </cell>
        </row>
        <row r="9">
          <cell r="C9" t="str">
            <v>各種設定</v>
          </cell>
        </row>
        <row r="10">
          <cell r="C10" t="str">
            <v>各種設定</v>
          </cell>
        </row>
        <row r="11">
          <cell r="C11" t="str">
            <v>各種設定</v>
          </cell>
        </row>
        <row r="12">
          <cell r="C12" t="str">
            <v>各種設定</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伝票一括アップロード"/>
      <sheetName val="区分値"/>
    </sheetNames>
    <sheetDataSet>
      <sheetData sheetId="0" refreshError="1"/>
      <sheetData sheetId="1" refreshError="1">
        <row r="4">
          <cell r="B4" t="str">
            <v>01:標準支払</v>
          </cell>
          <cell r="D4" t="str">
            <v>1:取消</v>
          </cell>
          <cell r="F4" t="str">
            <v>ＴＴＭ</v>
          </cell>
          <cell r="H4" t="str">
            <v>S:請求書</v>
          </cell>
          <cell r="J4" t="str">
            <v>A:支払保留</v>
          </cell>
          <cell r="N4" t="str">
            <v>10:卸売店</v>
          </cell>
          <cell r="P4" t="str">
            <v>1:借方</v>
          </cell>
        </row>
        <row r="5">
          <cell r="B5" t="str">
            <v>02:指定日支払</v>
          </cell>
          <cell r="D5" t="str">
            <v xml:space="preserve">2:借方修正 </v>
          </cell>
          <cell r="F5" t="str">
            <v>指定</v>
          </cell>
          <cell r="H5" t="str">
            <v>N:納品書</v>
          </cell>
          <cell r="N5" t="str">
            <v>11:食系卸店</v>
          </cell>
          <cell r="P5" t="str">
            <v>2:貸方</v>
          </cell>
        </row>
        <row r="6">
          <cell r="B6" t="str">
            <v>03:債権</v>
          </cell>
          <cell r="D6" t="str">
            <v>3:貸方修正</v>
          </cell>
          <cell r="N6" t="str">
            <v>20:小売店</v>
          </cell>
        </row>
        <row r="7">
          <cell r="B7" t="str">
            <v>04:振替</v>
          </cell>
          <cell r="D7" t="str">
            <v>4:相殺</v>
          </cell>
          <cell r="N7" t="str">
            <v>21:業務用小売店</v>
          </cell>
        </row>
        <row r="8">
          <cell r="B8" t="str">
            <v>05:出金</v>
          </cell>
          <cell r="D8" t="str">
            <v>5:相殺の取消</v>
          </cell>
          <cell r="N8" t="str">
            <v>50:業務店</v>
          </cell>
        </row>
        <row r="9">
          <cell r="B9" t="str">
            <v>06:入金</v>
          </cell>
          <cell r="N9" t="str">
            <v>80:消費者</v>
          </cell>
        </row>
        <row r="10">
          <cell r="B10" t="str">
            <v>07:現預金振替</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
      <sheetName val="画面イメージ"/>
      <sheetName val="項目説明"/>
      <sheetName val="master"/>
      <sheetName val="メッセージ一覧【GNK】"/>
      <sheetName val="表紙"/>
      <sheetName val="CRUD 図"/>
    </sheetNames>
    <sheetDataSet>
      <sheetData sheetId="0"/>
      <sheetData sheetId="1"/>
      <sheetData sheetId="2"/>
      <sheetData sheetId="3" refreshError="1">
        <row r="2">
          <cell r="B2" t="str">
            <v>PD</v>
          </cell>
          <cell r="D2" t="str">
            <v>半角英数</v>
          </cell>
        </row>
        <row r="3">
          <cell r="D3" t="str">
            <v>半角英数記号</v>
          </cell>
        </row>
        <row r="4">
          <cell r="D4" t="str">
            <v>半角数字</v>
          </cell>
        </row>
        <row r="5">
          <cell r="D5" t="str">
            <v>半角英字</v>
          </cell>
        </row>
        <row r="6">
          <cell r="D6" t="str">
            <v>全角文字</v>
          </cell>
        </row>
        <row r="7">
          <cell r="D7" t="str">
            <v>全角カナ</v>
          </cell>
        </row>
      </sheetData>
      <sheetData sheetId="4" refreshError="1"/>
      <sheetData sheetId="5" refreshError="1"/>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伝票一括アップロード"/>
      <sheetName val="区分値"/>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共通会計機能拡張"/>
      <sheetName val="2010共通会計機能拡張（資料１）"/>
      <sheetName val="2010共通会計機能拡張 (201005）"/>
      <sheetName val="変更履歴"/>
      <sheetName val="Sheet2"/>
      <sheetName val="ｼｽﾃﾑ共通(ZZ）"/>
      <sheetName val="機能外（BK）"/>
      <sheetName val="情報取込（BA）001-004"/>
      <sheetName val="長前費計算（BA）005-009"/>
      <sheetName val="仕訳作成（BA）010-014"/>
      <sheetName val="帳票作成（BA）015-017"/>
      <sheetName val="ﾊﾞｯｸｱｯﾌﾟ（BA）"/>
      <sheetName val="←基本★｜★資料→"/>
      <sheetName val="資料（償却費端数計算）"/>
      <sheetName val="資料（償却費端数ﾃｰﾌﾞﾙ）"/>
      <sheetName val="資料（変更時適用期間）"/>
      <sheetName val="資料（長前費CSV）"/>
      <sheetName val="資料（CSV台帳）"/>
      <sheetName val="資料（電子帳簿）"/>
      <sheetName val="資料（会計期間コンポ）"/>
      <sheetName val="資料（VIEW）"/>
      <sheetName val="SFS勘定コードマスタ"/>
      <sheetName val="資料（新8社+SGNの設定）"/>
      <sheetName val="資料（新8社+SGNの設定） (SHD対応時)"/>
      <sheetName val="資料（処理実行制御）"/>
      <sheetName val="資料（仕訳集計の項目）"/>
      <sheetName val="電子帳票"/>
    </sheetNames>
    <sheetDataSet>
      <sheetData sheetId="0"/>
      <sheetData sheetId="1"/>
      <sheetData sheetId="2"/>
      <sheetData sheetId="3"/>
      <sheetData sheetId="4"/>
      <sheetData sheetId="5"/>
      <sheetData sheetId="6"/>
      <sheetData sheetId="7" refreshError="1">
        <row r="31">
          <cell r="C31" t="str">
            <v>REQBA001-02</v>
          </cell>
        </row>
        <row r="43">
          <cell r="B43" t="str">
            <v>REQBA002</v>
          </cell>
        </row>
        <row r="131">
          <cell r="B131" t="str">
            <v>REQBA003</v>
          </cell>
        </row>
        <row r="217">
          <cell r="B217" t="str">
            <v>REQBA004</v>
          </cell>
        </row>
        <row r="255">
          <cell r="E255" t="str">
            <v>REQBA004-01-05</v>
          </cell>
        </row>
        <row r="258">
          <cell r="E258" t="str">
            <v>REQBA004-01-07</v>
          </cell>
        </row>
      </sheetData>
      <sheetData sheetId="8" refreshError="1">
        <row r="8">
          <cell r="C8" t="str">
            <v>REQBA005-01</v>
          </cell>
        </row>
        <row r="105">
          <cell r="B105" t="str">
            <v>REQBA006</v>
          </cell>
        </row>
        <row r="170">
          <cell r="B170" t="str">
            <v>REQBA007</v>
          </cell>
        </row>
        <row r="223">
          <cell r="B223" t="str">
            <v>REQBA008</v>
          </cell>
        </row>
      </sheetData>
      <sheetData sheetId="9" refreshError="1">
        <row r="47">
          <cell r="E47" t="str">
            <v>REQBA010-03-90</v>
          </cell>
        </row>
        <row r="49">
          <cell r="E49" t="str">
            <v>REQBA010-03-92</v>
          </cell>
        </row>
        <row r="69">
          <cell r="E69" t="str">
            <v>REQBA010-04-01</v>
          </cell>
        </row>
        <row r="138">
          <cell r="B138" t="str">
            <v>REQBA011</v>
          </cell>
        </row>
        <row r="196">
          <cell r="B196" t="str">
            <v>REQBA013</v>
          </cell>
        </row>
        <row r="223">
          <cell r="B223" t="str">
            <v>REQBA014</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全員"/>
      <sheetName val="分部"/>
      <sheetName val="西口"/>
      <sheetName val="日野"/>
      <sheetName val="西田"/>
      <sheetName val="勝部"/>
      <sheetName val="河村"/>
      <sheetName val="戸井"/>
    </sheetNames>
    <sheetDataSet>
      <sheetData sheetId="0" refreshError="1">
        <row r="5">
          <cell r="L5" t="str">
            <v>休み</v>
          </cell>
        </row>
      </sheetData>
      <sheetData sheetId="1"/>
      <sheetData sheetId="2"/>
      <sheetData sheetId="3"/>
      <sheetData sheetId="4"/>
      <sheetData sheetId="5"/>
      <sheetData sheetId="6"/>
      <sheetData sheetId="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表"/>
      <sheetName val="選択リスト"/>
    </sheetNames>
    <sheetDataSet>
      <sheetData sheetId="0" refreshError="1"/>
      <sheetData sheetId="1" refreshError="1">
        <row r="2">
          <cell r="A2">
            <v>1</v>
          </cell>
        </row>
        <row r="3">
          <cell r="A3">
            <v>2</v>
          </cell>
        </row>
        <row r="4">
          <cell r="A4">
            <v>3</v>
          </cell>
        </row>
        <row r="5">
          <cell r="A5">
            <v>4</v>
          </cell>
        </row>
        <row r="6">
          <cell r="A6">
            <v>5</v>
          </cell>
        </row>
        <row r="7">
          <cell r="A7">
            <v>6</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情報"/>
      <sheetName val="作業実績表"/>
      <sheetName val="作業報告書"/>
      <sheetName val="ＳＥ一括入力1"/>
      <sheetName val="ＳＥ一括入力2"/>
      <sheetName val="ＳＥ一括入力3"/>
      <sheetName val="祝祭日"/>
      <sheetName val="SYSVAL"/>
      <sheetName val="Module1"/>
      <sheetName val="基本入力"/>
    </sheetNames>
    <sheetDataSet>
      <sheetData sheetId="0" refreshError="1">
        <row r="2">
          <cell r="B2">
            <v>1999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月間ｽｹｼﾞｭｰﾙ表"/>
      <sheetName val="作業日誌１週 "/>
      <sheetName val="作業日誌２週 "/>
      <sheetName val="作業日誌３週 "/>
      <sheetName val="作業日誌４週 "/>
      <sheetName val="作業日誌５週 "/>
      <sheetName val="強制時間"/>
      <sheetName val="Module1"/>
    </sheetNames>
    <sheetDataSet>
      <sheetData sheetId="0"/>
      <sheetData sheetId="1"/>
      <sheetData sheetId="2"/>
      <sheetData sheetId="3"/>
      <sheetData sheetId="4"/>
      <sheetData sheetId="5"/>
      <sheetData sheetId="6"/>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外部設計）"/>
      <sheetName val="変更履歴"/>
      <sheetName val="処理概要"/>
      <sheetName val="画面構成図"/>
      <sheetName val="EJB・モデルクラス一覧"/>
      <sheetName val="画面仕様(G-VVVF010)"/>
      <sheetName val="処理説明(G-VVVF010)"/>
      <sheetName val="画面仕様(G-VVVF011)"/>
      <sheetName val="エラーチェック（G-VVVF011）"/>
      <sheetName val="エラーチェック補足(G-VVVF011)"/>
      <sheetName val="処理説明(G-VVVF011)"/>
      <sheetName val="画面仕様(G-VVVF012)"/>
      <sheetName val="エラーチェック（G-VVVF012)"/>
      <sheetName val="エラーチェック補足(G-VVVF012)"/>
      <sheetName val="処理説明(G-VVVF012)"/>
      <sheetName val="t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6">
          <cell r="J6" t="str">
            <v>初期表示</v>
          </cell>
        </row>
        <row r="7">
          <cell r="J7" t="str">
            <v>ボタン</v>
          </cell>
        </row>
        <row r="8">
          <cell r="J8" t="str">
            <v>リンク</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sheetName val="No.33"/>
      <sheetName val="No.53"/>
      <sheetName val="No.55"/>
      <sheetName val="No.56"/>
      <sheetName val="No.57"/>
      <sheetName val="No.65"/>
      <sheetName val="No.67"/>
      <sheetName val="区分マスタ"/>
      <sheetName val="No.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C2" t="str">
            <v>回答待ち</v>
          </cell>
        </row>
        <row r="3">
          <cell r="C3" t="str">
            <v>回答中</v>
          </cell>
        </row>
        <row r="4">
          <cell r="C4" t="str">
            <v>回答済</v>
          </cell>
        </row>
        <row r="5">
          <cell r="C5" t="str">
            <v>不要</v>
          </cell>
        </row>
        <row r="6">
          <cell r="C6" t="str">
            <v>完了</v>
          </cell>
        </row>
        <row r="7">
          <cell r="C7" t="str">
            <v>起票のみ</v>
          </cell>
        </row>
        <row r="8">
          <cell r="C8" t="str">
            <v>対象外</v>
          </cell>
        </row>
      </sheetData>
      <sheetData sheetId="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費用概算"/>
      <sheetName val="ｸﾗｲｱﾝﾄ･ｽﾍﾟｯｸ"/>
      <sheetName val="表紙・はじめに"/>
      <sheetName val="目次"/>
      <sheetName val="ｻｰﾊﾞｰ･見積"/>
      <sheetName val="ご提案ｺﾝｾﾌﾟﾄ"/>
      <sheetName val="ｼｽﾃﾑ構成(概要)"/>
      <sheetName val="ｼｽﾃﾑ構成(詳細)"/>
      <sheetName val="ﾊｰﾄﾞｳｴｱの検討"/>
      <sheetName val="ｿﾌﾄｳｴｱの検討"/>
      <sheetName val="ｼｽﾃﾑ概念図"/>
      <sheetName val="機能一覧"/>
      <sheetName val="NOTES検討"/>
      <sheetName val="開発ｽｹｼﾞｭｰﾙ"/>
      <sheetName val="開発手順"/>
      <sheetName val="開発体制"/>
      <sheetName val="利益センタマスタ"/>
      <sheetName val="処分損ﾒﾓ(月次)"/>
      <sheetName val="選択テーブル"/>
      <sheetName val="ﾃｰﾌﾞﾙ"/>
      <sheetName val="PL表"/>
      <sheetName val="仕入計画AI8月"/>
      <sheetName val="選択項目"/>
      <sheetName val="マスター"/>
      <sheetName val="K無その他"/>
      <sheetName val="営業所別実績"/>
      <sheetName val="マスタ"/>
      <sheetName val="マスター情報"/>
      <sheetName val="区分値"/>
      <sheetName val="増加回数"/>
      <sheetName val="１月"/>
      <sheetName val="Sheet2"/>
      <sheetName val="検針入力・計算表"/>
      <sheetName val="各部量"/>
      <sheetName val="投資額・費用計算シート（例）渡邊案作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障害検出率 (マスタ)"/>
      <sheetName val="不具合記録"/>
      <sheetName val="レビュ実施記録"/>
      <sheetName val="CONFIGSHEET"/>
      <sheetName val="障害実績 (マスタ)"/>
    </sheetNames>
    <sheetDataSet>
      <sheetData sheetId="0">
        <row r="25">
          <cell r="C25" t="str">
            <v>全体</v>
          </cell>
          <cell r="D25" t="str">
            <v>目標値</v>
          </cell>
        </row>
        <row r="32">
          <cell r="B32" t="str">
            <v>単体テスト</v>
          </cell>
          <cell r="C32">
            <v>0</v>
          </cell>
          <cell r="D32">
            <v>0</v>
          </cell>
        </row>
        <row r="33">
          <cell r="B33" t="str">
            <v>結合テスト</v>
          </cell>
          <cell r="C33">
            <v>0</v>
          </cell>
          <cell r="D33">
            <v>0</v>
          </cell>
        </row>
        <row r="34">
          <cell r="B34" t="str">
            <v>総合テスト</v>
          </cell>
          <cell r="C34">
            <v>0</v>
          </cell>
          <cell r="D34">
            <v>0</v>
          </cell>
        </row>
        <row r="35">
          <cell r="B35" t="str">
            <v>導入</v>
          </cell>
          <cell r="C35">
            <v>0</v>
          </cell>
          <cell r="D35">
            <v>0</v>
          </cell>
        </row>
      </sheetData>
      <sheetData sheetId="1"/>
      <sheetData sheetId="2"/>
      <sheetData sheetId="3"/>
      <sheetData sheetId="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lumMod val="60000"/>
            <a:lumOff val="40000"/>
          </a:schemeClr>
        </a:solidFill>
      </a:spPr>
      <a:bodyPr vertOverflow="clip" horzOverflow="clip" rtlCol="0" anchor="t"/>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3"/>
  <sheetViews>
    <sheetView showGridLines="0" zoomScaleNormal="100" workbookViewId="0"/>
  </sheetViews>
  <sheetFormatPr defaultColWidth="2.54296875" defaultRowHeight="13"/>
  <cols>
    <col min="1" max="1" width="2.54296875" style="204" customWidth="1"/>
    <col min="2" max="2" width="28.36328125" style="296" customWidth="1"/>
    <col min="3" max="3" width="52.36328125" style="296" customWidth="1"/>
    <col min="4" max="4" width="8" style="296" customWidth="1"/>
    <col min="5" max="5" width="24.54296875" style="158" customWidth="1"/>
    <col min="6" max="6" width="73.54296875" style="158" customWidth="1"/>
    <col min="7" max="7" width="76.6328125" style="296" customWidth="1"/>
    <col min="8" max="55" width="13.453125" style="296" customWidth="1"/>
  </cols>
  <sheetData>
    <row r="1" spans="1:24">
      <c r="A1" s="204" t="s">
        <v>0</v>
      </c>
    </row>
    <row r="2" spans="1:24">
      <c r="B2" s="98" t="s">
        <v>1</v>
      </c>
    </row>
    <row r="3" spans="1:24">
      <c r="B3" s="98" t="s">
        <v>2</v>
      </c>
    </row>
    <row r="4" spans="1:24">
      <c r="B4" s="98" t="s">
        <v>3</v>
      </c>
      <c r="X4" s="98"/>
    </row>
    <row r="5" spans="1:24">
      <c r="B5" s="98"/>
      <c r="X5" s="98"/>
    </row>
    <row r="6" spans="1:24">
      <c r="B6" s="246" t="s">
        <v>4</v>
      </c>
      <c r="X6" s="98"/>
    </row>
    <row r="7" spans="1:24">
      <c r="B7" s="98"/>
    </row>
    <row r="8" spans="1:24">
      <c r="A8" s="204" t="s">
        <v>5</v>
      </c>
      <c r="E8" s="212" t="s">
        <v>6</v>
      </c>
    </row>
    <row r="9" spans="1:24">
      <c r="B9" s="208" t="s">
        <v>7</v>
      </c>
      <c r="C9" s="208" t="s">
        <v>8</v>
      </c>
      <c r="D9" s="98"/>
      <c r="E9" s="87"/>
      <c r="F9" s="87"/>
    </row>
    <row r="10" spans="1:24" ht="27" customHeight="1">
      <c r="B10" s="86" t="s">
        <v>9</v>
      </c>
      <c r="C10" s="160" t="s">
        <v>10</v>
      </c>
      <c r="D10" s="206"/>
      <c r="E10" s="211" t="s">
        <v>11</v>
      </c>
      <c r="F10" s="160" t="s">
        <v>12</v>
      </c>
    </row>
    <row r="11" spans="1:24" ht="27" customHeight="1">
      <c r="B11" s="86" t="s">
        <v>13</v>
      </c>
      <c r="C11" s="159" t="s">
        <v>14</v>
      </c>
      <c r="D11" s="206"/>
      <c r="E11" s="211" t="s">
        <v>15</v>
      </c>
      <c r="F11" s="160" t="s">
        <v>16</v>
      </c>
    </row>
    <row r="12" spans="1:24" ht="81.650000000000006" customHeight="1">
      <c r="B12" s="86" t="s">
        <v>17</v>
      </c>
      <c r="C12" s="159" t="s">
        <v>14</v>
      </c>
      <c r="D12" s="98"/>
      <c r="E12" s="211" t="s">
        <v>18</v>
      </c>
      <c r="F12" s="160" t="s">
        <v>19</v>
      </c>
    </row>
    <row r="13" spans="1:24" ht="89.4" customHeight="1">
      <c r="B13" s="209" t="s">
        <v>20</v>
      </c>
      <c r="C13" s="210" t="s">
        <v>21</v>
      </c>
      <c r="D13" s="98"/>
      <c r="E13" s="211" t="s">
        <v>22</v>
      </c>
      <c r="F13" s="160" t="s">
        <v>23</v>
      </c>
    </row>
    <row r="14" spans="1:24" ht="59.4" customHeight="1">
      <c r="B14" s="307" t="s">
        <v>24</v>
      </c>
      <c r="C14" s="305" t="s">
        <v>25</v>
      </c>
      <c r="D14" s="98"/>
      <c r="E14" s="308" t="s">
        <v>26</v>
      </c>
      <c r="F14" s="213" t="s">
        <v>27</v>
      </c>
    </row>
    <row r="15" spans="1:24" ht="102" customHeight="1">
      <c r="B15" s="306"/>
      <c r="C15" s="306"/>
      <c r="D15" s="98"/>
      <c r="E15" s="309"/>
      <c r="F15" s="166" t="s">
        <v>28</v>
      </c>
    </row>
    <row r="16" spans="1:24" ht="27" customHeight="1">
      <c r="B16" s="86" t="s">
        <v>29</v>
      </c>
      <c r="C16" s="159" t="s">
        <v>14</v>
      </c>
      <c r="E16" s="211" t="s">
        <v>30</v>
      </c>
      <c r="F16" s="160" t="s">
        <v>31</v>
      </c>
    </row>
    <row r="17" spans="2:6" ht="26.4" customHeight="1">
      <c r="B17" s="86" t="s">
        <v>32</v>
      </c>
      <c r="C17" s="159" t="s">
        <v>14</v>
      </c>
    </row>
    <row r="18" spans="2:6" ht="26" customHeight="1">
      <c r="B18" s="86" t="s">
        <v>33</v>
      </c>
      <c r="C18" s="159" t="s">
        <v>14</v>
      </c>
    </row>
    <row r="19" spans="2:6" ht="26" customHeight="1">
      <c r="B19" s="205"/>
      <c r="C19" s="98"/>
    </row>
    <row r="20" spans="2:6">
      <c r="D20" s="98"/>
      <c r="F20" s="87"/>
    </row>
    <row r="21" spans="2:6">
      <c r="D21" s="98"/>
      <c r="F21" s="87"/>
    </row>
    <row r="22" spans="2:6">
      <c r="B22" s="205"/>
      <c r="C22" s="98"/>
      <c r="D22" s="207"/>
      <c r="E22" s="87"/>
      <c r="F22" s="87"/>
    </row>
    <row r="23" spans="2:6">
      <c r="B23" s="205"/>
      <c r="C23" s="98"/>
      <c r="D23" s="98"/>
      <c r="E23" s="87"/>
      <c r="F23" s="87"/>
    </row>
    <row r="24" spans="2:6">
      <c r="B24" s="205"/>
      <c r="C24" s="98"/>
      <c r="D24" s="206"/>
      <c r="E24" s="87"/>
      <c r="F24" s="87"/>
    </row>
    <row r="25" spans="2:6">
      <c r="B25" s="205"/>
      <c r="C25" s="98"/>
      <c r="D25" s="98"/>
      <c r="E25" s="87"/>
      <c r="F25" s="87"/>
    </row>
    <row r="26" spans="2:6">
      <c r="B26" s="205"/>
      <c r="C26" s="98"/>
      <c r="D26" s="98"/>
      <c r="F26" s="87"/>
    </row>
    <row r="27" spans="2:6">
      <c r="B27" s="205"/>
      <c r="C27" s="98"/>
      <c r="D27" s="98"/>
      <c r="F27" s="87"/>
    </row>
    <row r="28" spans="2:6">
      <c r="B28" s="205"/>
      <c r="C28" s="98"/>
      <c r="D28" s="98"/>
      <c r="E28" s="87"/>
      <c r="F28" s="87"/>
    </row>
    <row r="29" spans="2:6">
      <c r="B29" s="205"/>
      <c r="C29" s="98"/>
      <c r="D29" s="98"/>
      <c r="E29" s="87"/>
      <c r="F29" s="87"/>
    </row>
    <row r="30" spans="2:6">
      <c r="B30" s="205"/>
      <c r="C30" s="98"/>
      <c r="D30" s="98"/>
      <c r="E30" s="87"/>
      <c r="F30" s="87"/>
    </row>
    <row r="31" spans="2:6">
      <c r="B31" s="205"/>
      <c r="C31" s="98"/>
      <c r="D31" s="98"/>
      <c r="E31" s="87"/>
      <c r="F31" s="87"/>
    </row>
    <row r="32" spans="2:6">
      <c r="B32" s="205"/>
      <c r="D32" s="98"/>
      <c r="E32" s="87"/>
      <c r="F32" s="87"/>
    </row>
    <row r="33" spans="2:6">
      <c r="B33" s="205"/>
      <c r="C33" s="98"/>
      <c r="D33" s="98"/>
      <c r="E33" s="87"/>
      <c r="F33" s="87"/>
    </row>
  </sheetData>
  <mergeCells count="3">
    <mergeCell ref="C14:C15"/>
    <mergeCell ref="B14:B15"/>
    <mergeCell ref="E14:E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VJ30"/>
  <sheetViews>
    <sheetView showGridLines="0" zoomScale="115" zoomScaleNormal="115" workbookViewId="0">
      <pane ySplit="5" topLeftCell="A6" activePane="bottomLeft" state="frozen"/>
      <selection pane="bottomLeft"/>
    </sheetView>
  </sheetViews>
  <sheetFormatPr defaultRowHeight="13"/>
  <cols>
    <col min="1" max="1" width="2.08984375" style="296" customWidth="1"/>
    <col min="2" max="2" width="28.08984375" style="296" bestFit="1" customWidth="1"/>
    <col min="3" max="3" width="16.90625" style="296" customWidth="1"/>
    <col min="4" max="4" width="20.90625" style="296" customWidth="1"/>
    <col min="5" max="5" width="7.453125" style="296" bestFit="1" customWidth="1"/>
    <col min="6" max="6" width="13.08984375" style="296" bestFit="1" customWidth="1"/>
    <col min="7" max="7" width="14.36328125" style="296" bestFit="1" customWidth="1"/>
    <col min="8" max="8" width="17.453125" style="296" bestFit="1" customWidth="1"/>
    <col min="251" max="251" width="2.08984375" style="296" customWidth="1"/>
    <col min="252" max="252" width="22.08984375" style="296" customWidth="1"/>
    <col min="253" max="253" width="11.90625" style="296" bestFit="1" customWidth="1"/>
    <col min="254" max="254" width="11.90625" style="296" customWidth="1"/>
    <col min="255" max="255" width="16.90625" style="296" bestFit="1" customWidth="1"/>
    <col min="257" max="257" width="13" style="296" bestFit="1" customWidth="1"/>
    <col min="258" max="258" width="45.54296875" style="296" bestFit="1" customWidth="1"/>
    <col min="507" max="507" width="2.08984375" style="296" customWidth="1"/>
    <col min="508" max="508" width="22.08984375" style="296" customWidth="1"/>
    <col min="509" max="509" width="11.90625" style="296" bestFit="1" customWidth="1"/>
    <col min="510" max="510" width="11.90625" style="296" customWidth="1"/>
    <col min="511" max="511" width="16.90625" style="296" bestFit="1" customWidth="1"/>
    <col min="513" max="513" width="13" style="296" bestFit="1" customWidth="1"/>
    <col min="514" max="514" width="45.54296875" style="296" bestFit="1" customWidth="1"/>
    <col min="763" max="763" width="2.08984375" style="296" customWidth="1"/>
    <col min="764" max="764" width="22.08984375" style="296" customWidth="1"/>
    <col min="765" max="765" width="11.90625" style="296" bestFit="1" customWidth="1"/>
    <col min="766" max="766" width="11.90625" style="296" customWidth="1"/>
    <col min="767" max="767" width="16.90625" style="296" bestFit="1" customWidth="1"/>
    <col min="769" max="769" width="13" style="296" bestFit="1" customWidth="1"/>
    <col min="770" max="770" width="45.54296875" style="296" bestFit="1" customWidth="1"/>
    <col min="1019" max="1019" width="2.08984375" style="296" customWidth="1"/>
    <col min="1020" max="1020" width="22.08984375" style="296" customWidth="1"/>
    <col min="1021" max="1021" width="11.90625" style="296" bestFit="1" customWidth="1"/>
    <col min="1022" max="1022" width="11.90625" style="296" customWidth="1"/>
    <col min="1023" max="1023" width="16.90625" style="296" bestFit="1" customWidth="1"/>
    <col min="1025" max="1025" width="13" style="296" bestFit="1" customWidth="1"/>
    <col min="1026" max="1026" width="45.54296875" style="296" bestFit="1" customWidth="1"/>
    <col min="1275" max="1275" width="2.08984375" style="296" customWidth="1"/>
    <col min="1276" max="1276" width="22.08984375" style="296" customWidth="1"/>
    <col min="1277" max="1277" width="11.90625" style="296" bestFit="1" customWidth="1"/>
    <col min="1278" max="1278" width="11.90625" style="296" customWidth="1"/>
    <col min="1279" max="1279" width="16.90625" style="296" bestFit="1" customWidth="1"/>
    <col min="1281" max="1281" width="13" style="296" bestFit="1" customWidth="1"/>
    <col min="1282" max="1282" width="45.54296875" style="296" bestFit="1" customWidth="1"/>
    <col min="1531" max="1531" width="2.08984375" style="296" customWidth="1"/>
    <col min="1532" max="1532" width="22.08984375" style="296" customWidth="1"/>
    <col min="1533" max="1533" width="11.90625" style="296" bestFit="1" customWidth="1"/>
    <col min="1534" max="1534" width="11.90625" style="296" customWidth="1"/>
    <col min="1535" max="1535" width="16.90625" style="296" bestFit="1" customWidth="1"/>
    <col min="1537" max="1537" width="13" style="296" bestFit="1" customWidth="1"/>
    <col min="1538" max="1538" width="45.54296875" style="296" bestFit="1" customWidth="1"/>
    <col min="1787" max="1787" width="2.08984375" style="296" customWidth="1"/>
    <col min="1788" max="1788" width="22.08984375" style="296" customWidth="1"/>
    <col min="1789" max="1789" width="11.90625" style="296" bestFit="1" customWidth="1"/>
    <col min="1790" max="1790" width="11.90625" style="296" customWidth="1"/>
    <col min="1791" max="1791" width="16.90625" style="296" bestFit="1" customWidth="1"/>
    <col min="1793" max="1793" width="13" style="296" bestFit="1" customWidth="1"/>
    <col min="1794" max="1794" width="45.54296875" style="296" bestFit="1" customWidth="1"/>
    <col min="2043" max="2043" width="2.08984375" style="296" customWidth="1"/>
    <col min="2044" max="2044" width="22.08984375" style="296" customWidth="1"/>
    <col min="2045" max="2045" width="11.90625" style="296" bestFit="1" customWidth="1"/>
    <col min="2046" max="2046" width="11.90625" style="296" customWidth="1"/>
    <col min="2047" max="2047" width="16.90625" style="296" bestFit="1" customWidth="1"/>
    <col min="2049" max="2049" width="13" style="296" bestFit="1" customWidth="1"/>
    <col min="2050" max="2050" width="45.54296875" style="296" bestFit="1" customWidth="1"/>
    <col min="2299" max="2299" width="2.08984375" style="296" customWidth="1"/>
    <col min="2300" max="2300" width="22.08984375" style="296" customWidth="1"/>
    <col min="2301" max="2301" width="11.90625" style="296" bestFit="1" customWidth="1"/>
    <col min="2302" max="2302" width="11.90625" style="296" customWidth="1"/>
    <col min="2303" max="2303" width="16.90625" style="296" bestFit="1" customWidth="1"/>
    <col min="2305" max="2305" width="13" style="296" bestFit="1" customWidth="1"/>
    <col min="2306" max="2306" width="45.54296875" style="296" bestFit="1" customWidth="1"/>
    <col min="2555" max="2555" width="2.08984375" style="296" customWidth="1"/>
    <col min="2556" max="2556" width="22.08984375" style="296" customWidth="1"/>
    <col min="2557" max="2557" width="11.90625" style="296" bestFit="1" customWidth="1"/>
    <col min="2558" max="2558" width="11.90625" style="296" customWidth="1"/>
    <col min="2559" max="2559" width="16.90625" style="296" bestFit="1" customWidth="1"/>
    <col min="2561" max="2561" width="13" style="296" bestFit="1" customWidth="1"/>
    <col min="2562" max="2562" width="45.54296875" style="296" bestFit="1" customWidth="1"/>
    <col min="2811" max="2811" width="2.08984375" style="296" customWidth="1"/>
    <col min="2812" max="2812" width="22.08984375" style="296" customWidth="1"/>
    <col min="2813" max="2813" width="11.90625" style="296" bestFit="1" customWidth="1"/>
    <col min="2814" max="2814" width="11.90625" style="296" customWidth="1"/>
    <col min="2815" max="2815" width="16.90625" style="296" bestFit="1" customWidth="1"/>
    <col min="2817" max="2817" width="13" style="296" bestFit="1" customWidth="1"/>
    <col min="2818" max="2818" width="45.54296875" style="296" bestFit="1" customWidth="1"/>
    <col min="3067" max="3067" width="2.08984375" style="296" customWidth="1"/>
    <col min="3068" max="3068" width="22.08984375" style="296" customWidth="1"/>
    <col min="3069" max="3069" width="11.90625" style="296" bestFit="1" customWidth="1"/>
    <col min="3070" max="3070" width="11.90625" style="296" customWidth="1"/>
    <col min="3071" max="3071" width="16.90625" style="296" bestFit="1" customWidth="1"/>
    <col min="3073" max="3073" width="13" style="296" bestFit="1" customWidth="1"/>
    <col min="3074" max="3074" width="45.54296875" style="296" bestFit="1" customWidth="1"/>
    <col min="3323" max="3323" width="2.08984375" style="296" customWidth="1"/>
    <col min="3324" max="3324" width="22.08984375" style="296" customWidth="1"/>
    <col min="3325" max="3325" width="11.90625" style="296" bestFit="1" customWidth="1"/>
    <col min="3326" max="3326" width="11.90625" style="296" customWidth="1"/>
    <col min="3327" max="3327" width="16.90625" style="296" bestFit="1" customWidth="1"/>
    <col min="3329" max="3329" width="13" style="296" bestFit="1" customWidth="1"/>
    <col min="3330" max="3330" width="45.54296875" style="296" bestFit="1" customWidth="1"/>
    <col min="3579" max="3579" width="2.08984375" style="296" customWidth="1"/>
    <col min="3580" max="3580" width="22.08984375" style="296" customWidth="1"/>
    <col min="3581" max="3581" width="11.90625" style="296" bestFit="1" customWidth="1"/>
    <col min="3582" max="3582" width="11.90625" style="296" customWidth="1"/>
    <col min="3583" max="3583" width="16.90625" style="296" bestFit="1" customWidth="1"/>
    <col min="3585" max="3585" width="13" style="296" bestFit="1" customWidth="1"/>
    <col min="3586" max="3586" width="45.54296875" style="296" bestFit="1" customWidth="1"/>
    <col min="3835" max="3835" width="2.08984375" style="296" customWidth="1"/>
    <col min="3836" max="3836" width="22.08984375" style="296" customWidth="1"/>
    <col min="3837" max="3837" width="11.90625" style="296" bestFit="1" customWidth="1"/>
    <col min="3838" max="3838" width="11.90625" style="296" customWidth="1"/>
    <col min="3839" max="3839" width="16.90625" style="296" bestFit="1" customWidth="1"/>
    <col min="3841" max="3841" width="13" style="296" bestFit="1" customWidth="1"/>
    <col min="3842" max="3842" width="45.54296875" style="296" bestFit="1" customWidth="1"/>
    <col min="4091" max="4091" width="2.08984375" style="296" customWidth="1"/>
    <col min="4092" max="4092" width="22.08984375" style="296" customWidth="1"/>
    <col min="4093" max="4093" width="11.90625" style="296" bestFit="1" customWidth="1"/>
    <col min="4094" max="4094" width="11.90625" style="296" customWidth="1"/>
    <col min="4095" max="4095" width="16.90625" style="296" bestFit="1" customWidth="1"/>
    <col min="4097" max="4097" width="13" style="296" bestFit="1" customWidth="1"/>
    <col min="4098" max="4098" width="45.54296875" style="296" bestFit="1" customWidth="1"/>
    <col min="4347" max="4347" width="2.08984375" style="296" customWidth="1"/>
    <col min="4348" max="4348" width="22.08984375" style="296" customWidth="1"/>
    <col min="4349" max="4349" width="11.90625" style="296" bestFit="1" customWidth="1"/>
    <col min="4350" max="4350" width="11.90625" style="296" customWidth="1"/>
    <col min="4351" max="4351" width="16.90625" style="296" bestFit="1" customWidth="1"/>
    <col min="4353" max="4353" width="13" style="296" bestFit="1" customWidth="1"/>
    <col min="4354" max="4354" width="45.54296875" style="296" bestFit="1" customWidth="1"/>
    <col min="4603" max="4603" width="2.08984375" style="296" customWidth="1"/>
    <col min="4604" max="4604" width="22.08984375" style="296" customWidth="1"/>
    <col min="4605" max="4605" width="11.90625" style="296" bestFit="1" customWidth="1"/>
    <col min="4606" max="4606" width="11.90625" style="296" customWidth="1"/>
    <col min="4607" max="4607" width="16.90625" style="296" bestFit="1" customWidth="1"/>
    <col min="4609" max="4609" width="13" style="296" bestFit="1" customWidth="1"/>
    <col min="4610" max="4610" width="45.54296875" style="296" bestFit="1" customWidth="1"/>
    <col min="4859" max="4859" width="2.08984375" style="296" customWidth="1"/>
    <col min="4860" max="4860" width="22.08984375" style="296" customWidth="1"/>
    <col min="4861" max="4861" width="11.90625" style="296" bestFit="1" customWidth="1"/>
    <col min="4862" max="4862" width="11.90625" style="296" customWidth="1"/>
    <col min="4863" max="4863" width="16.90625" style="296" bestFit="1" customWidth="1"/>
    <col min="4865" max="4865" width="13" style="296" bestFit="1" customWidth="1"/>
    <col min="4866" max="4866" width="45.54296875" style="296" bestFit="1" customWidth="1"/>
    <col min="5115" max="5115" width="2.08984375" style="296" customWidth="1"/>
    <col min="5116" max="5116" width="22.08984375" style="296" customWidth="1"/>
    <col min="5117" max="5117" width="11.90625" style="296" bestFit="1" customWidth="1"/>
    <col min="5118" max="5118" width="11.90625" style="296" customWidth="1"/>
    <col min="5119" max="5119" width="16.90625" style="296" bestFit="1" customWidth="1"/>
    <col min="5121" max="5121" width="13" style="296" bestFit="1" customWidth="1"/>
    <col min="5122" max="5122" width="45.54296875" style="296" bestFit="1" customWidth="1"/>
    <col min="5371" max="5371" width="2.08984375" style="296" customWidth="1"/>
    <col min="5372" max="5372" width="22.08984375" style="296" customWidth="1"/>
    <col min="5373" max="5373" width="11.90625" style="296" bestFit="1" customWidth="1"/>
    <col min="5374" max="5374" width="11.90625" style="296" customWidth="1"/>
    <col min="5375" max="5375" width="16.90625" style="296" bestFit="1" customWidth="1"/>
    <col min="5377" max="5377" width="13" style="296" bestFit="1" customWidth="1"/>
    <col min="5378" max="5378" width="45.54296875" style="296" bestFit="1" customWidth="1"/>
    <col min="5627" max="5627" width="2.08984375" style="296" customWidth="1"/>
    <col min="5628" max="5628" width="22.08984375" style="296" customWidth="1"/>
    <col min="5629" max="5629" width="11.90625" style="296" bestFit="1" customWidth="1"/>
    <col min="5630" max="5630" width="11.90625" style="296" customWidth="1"/>
    <col min="5631" max="5631" width="16.90625" style="296" bestFit="1" customWidth="1"/>
    <col min="5633" max="5633" width="13" style="296" bestFit="1" customWidth="1"/>
    <col min="5634" max="5634" width="45.54296875" style="296" bestFit="1" customWidth="1"/>
    <col min="5883" max="5883" width="2.08984375" style="296" customWidth="1"/>
    <col min="5884" max="5884" width="22.08984375" style="296" customWidth="1"/>
    <col min="5885" max="5885" width="11.90625" style="296" bestFit="1" customWidth="1"/>
    <col min="5886" max="5886" width="11.90625" style="296" customWidth="1"/>
    <col min="5887" max="5887" width="16.90625" style="296" bestFit="1" customWidth="1"/>
    <col min="5889" max="5889" width="13" style="296" bestFit="1" customWidth="1"/>
    <col min="5890" max="5890" width="45.54296875" style="296" bestFit="1" customWidth="1"/>
    <col min="6139" max="6139" width="2.08984375" style="296" customWidth="1"/>
    <col min="6140" max="6140" width="22.08984375" style="296" customWidth="1"/>
    <col min="6141" max="6141" width="11.90625" style="296" bestFit="1" customWidth="1"/>
    <col min="6142" max="6142" width="11.90625" style="296" customWidth="1"/>
    <col min="6143" max="6143" width="16.90625" style="296" bestFit="1" customWidth="1"/>
    <col min="6145" max="6145" width="13" style="296" bestFit="1" customWidth="1"/>
    <col min="6146" max="6146" width="45.54296875" style="296" bestFit="1" customWidth="1"/>
    <col min="6395" max="6395" width="2.08984375" style="296" customWidth="1"/>
    <col min="6396" max="6396" width="22.08984375" style="296" customWidth="1"/>
    <col min="6397" max="6397" width="11.90625" style="296" bestFit="1" customWidth="1"/>
    <col min="6398" max="6398" width="11.90625" style="296" customWidth="1"/>
    <col min="6399" max="6399" width="16.90625" style="296" bestFit="1" customWidth="1"/>
    <col min="6401" max="6401" width="13" style="296" bestFit="1" customWidth="1"/>
    <col min="6402" max="6402" width="45.54296875" style="296" bestFit="1" customWidth="1"/>
    <col min="6651" max="6651" width="2.08984375" style="296" customWidth="1"/>
    <col min="6652" max="6652" width="22.08984375" style="296" customWidth="1"/>
    <col min="6653" max="6653" width="11.90625" style="296" bestFit="1" customWidth="1"/>
    <col min="6654" max="6654" width="11.90625" style="296" customWidth="1"/>
    <col min="6655" max="6655" width="16.90625" style="296" bestFit="1" customWidth="1"/>
    <col min="6657" max="6657" width="13" style="296" bestFit="1" customWidth="1"/>
    <col min="6658" max="6658" width="45.54296875" style="296" bestFit="1" customWidth="1"/>
    <col min="6907" max="6907" width="2.08984375" style="296" customWidth="1"/>
    <col min="6908" max="6908" width="22.08984375" style="296" customWidth="1"/>
    <col min="6909" max="6909" width="11.90625" style="296" bestFit="1" customWidth="1"/>
    <col min="6910" max="6910" width="11.90625" style="296" customWidth="1"/>
    <col min="6911" max="6911" width="16.90625" style="296" bestFit="1" customWidth="1"/>
    <col min="6913" max="6913" width="13" style="296" bestFit="1" customWidth="1"/>
    <col min="6914" max="6914" width="45.54296875" style="296" bestFit="1" customWidth="1"/>
    <col min="7163" max="7163" width="2.08984375" style="296" customWidth="1"/>
    <col min="7164" max="7164" width="22.08984375" style="296" customWidth="1"/>
    <col min="7165" max="7165" width="11.90625" style="296" bestFit="1" customWidth="1"/>
    <col min="7166" max="7166" width="11.90625" style="296" customWidth="1"/>
    <col min="7167" max="7167" width="16.90625" style="296" bestFit="1" customWidth="1"/>
    <col min="7169" max="7169" width="13" style="296" bestFit="1" customWidth="1"/>
    <col min="7170" max="7170" width="45.54296875" style="296" bestFit="1" customWidth="1"/>
    <col min="7419" max="7419" width="2.08984375" style="296" customWidth="1"/>
    <col min="7420" max="7420" width="22.08984375" style="296" customWidth="1"/>
    <col min="7421" max="7421" width="11.90625" style="296" bestFit="1" customWidth="1"/>
    <col min="7422" max="7422" width="11.90625" style="296" customWidth="1"/>
    <col min="7423" max="7423" width="16.90625" style="296" bestFit="1" customWidth="1"/>
    <col min="7425" max="7425" width="13" style="296" bestFit="1" customWidth="1"/>
    <col min="7426" max="7426" width="45.54296875" style="296" bestFit="1" customWidth="1"/>
    <col min="7675" max="7675" width="2.08984375" style="296" customWidth="1"/>
    <col min="7676" max="7676" width="22.08984375" style="296" customWidth="1"/>
    <col min="7677" max="7677" width="11.90625" style="296" bestFit="1" customWidth="1"/>
    <col min="7678" max="7678" width="11.90625" style="296" customWidth="1"/>
    <col min="7679" max="7679" width="16.90625" style="296" bestFit="1" customWidth="1"/>
    <col min="7681" max="7681" width="13" style="296" bestFit="1" customWidth="1"/>
    <col min="7682" max="7682" width="45.54296875" style="296" bestFit="1" customWidth="1"/>
    <col min="7931" max="7931" width="2.08984375" style="296" customWidth="1"/>
    <col min="7932" max="7932" width="22.08984375" style="296" customWidth="1"/>
    <col min="7933" max="7933" width="11.90625" style="296" bestFit="1" customWidth="1"/>
    <col min="7934" max="7934" width="11.90625" style="296" customWidth="1"/>
    <col min="7935" max="7935" width="16.90625" style="296" bestFit="1" customWidth="1"/>
    <col min="7937" max="7937" width="13" style="296" bestFit="1" customWidth="1"/>
    <col min="7938" max="7938" width="45.54296875" style="296" bestFit="1" customWidth="1"/>
    <col min="8187" max="8187" width="2.08984375" style="296" customWidth="1"/>
    <col min="8188" max="8188" width="22.08984375" style="296" customWidth="1"/>
    <col min="8189" max="8189" width="11.90625" style="296" bestFit="1" customWidth="1"/>
    <col min="8190" max="8190" width="11.90625" style="296" customWidth="1"/>
    <col min="8191" max="8191" width="16.90625" style="296" bestFit="1" customWidth="1"/>
    <col min="8193" max="8193" width="13" style="296" bestFit="1" customWidth="1"/>
    <col min="8194" max="8194" width="45.54296875" style="296" bestFit="1" customWidth="1"/>
    <col min="8443" max="8443" width="2.08984375" style="296" customWidth="1"/>
    <col min="8444" max="8444" width="22.08984375" style="296" customWidth="1"/>
    <col min="8445" max="8445" width="11.90625" style="296" bestFit="1" customWidth="1"/>
    <col min="8446" max="8446" width="11.90625" style="296" customWidth="1"/>
    <col min="8447" max="8447" width="16.90625" style="296" bestFit="1" customWidth="1"/>
    <col min="8449" max="8449" width="13" style="296" bestFit="1" customWidth="1"/>
    <col min="8450" max="8450" width="45.54296875" style="296" bestFit="1" customWidth="1"/>
    <col min="8699" max="8699" width="2.08984375" style="296" customWidth="1"/>
    <col min="8700" max="8700" width="22.08984375" style="296" customWidth="1"/>
    <col min="8701" max="8701" width="11.90625" style="296" bestFit="1" customWidth="1"/>
    <col min="8702" max="8702" width="11.90625" style="296" customWidth="1"/>
    <col min="8703" max="8703" width="16.90625" style="296" bestFit="1" customWidth="1"/>
    <col min="8705" max="8705" width="13" style="296" bestFit="1" customWidth="1"/>
    <col min="8706" max="8706" width="45.54296875" style="296" bestFit="1" customWidth="1"/>
    <col min="8955" max="8955" width="2.08984375" style="296" customWidth="1"/>
    <col min="8956" max="8956" width="22.08984375" style="296" customWidth="1"/>
    <col min="8957" max="8957" width="11.90625" style="296" bestFit="1" customWidth="1"/>
    <col min="8958" max="8958" width="11.90625" style="296" customWidth="1"/>
    <col min="8959" max="8959" width="16.90625" style="296" bestFit="1" customWidth="1"/>
    <col min="8961" max="8961" width="13" style="296" bestFit="1" customWidth="1"/>
    <col min="8962" max="8962" width="45.54296875" style="296" bestFit="1" customWidth="1"/>
    <col min="9211" max="9211" width="2.08984375" style="296" customWidth="1"/>
    <col min="9212" max="9212" width="22.08984375" style="296" customWidth="1"/>
    <col min="9213" max="9213" width="11.90625" style="296" bestFit="1" customWidth="1"/>
    <col min="9214" max="9214" width="11.90625" style="296" customWidth="1"/>
    <col min="9215" max="9215" width="16.90625" style="296" bestFit="1" customWidth="1"/>
    <col min="9217" max="9217" width="13" style="296" bestFit="1" customWidth="1"/>
    <col min="9218" max="9218" width="45.54296875" style="296" bestFit="1" customWidth="1"/>
    <col min="9467" max="9467" width="2.08984375" style="296" customWidth="1"/>
    <col min="9468" max="9468" width="22.08984375" style="296" customWidth="1"/>
    <col min="9469" max="9469" width="11.90625" style="296" bestFit="1" customWidth="1"/>
    <col min="9470" max="9470" width="11.90625" style="296" customWidth="1"/>
    <col min="9471" max="9471" width="16.90625" style="296" bestFit="1" customWidth="1"/>
    <col min="9473" max="9473" width="13" style="296" bestFit="1" customWidth="1"/>
    <col min="9474" max="9474" width="45.54296875" style="296" bestFit="1" customWidth="1"/>
    <col min="9723" max="9723" width="2.08984375" style="296" customWidth="1"/>
    <col min="9724" max="9724" width="22.08984375" style="296" customWidth="1"/>
    <col min="9725" max="9725" width="11.90625" style="296" bestFit="1" customWidth="1"/>
    <col min="9726" max="9726" width="11.90625" style="296" customWidth="1"/>
    <col min="9727" max="9727" width="16.90625" style="296" bestFit="1" customWidth="1"/>
    <col min="9729" max="9729" width="13" style="296" bestFit="1" customWidth="1"/>
    <col min="9730" max="9730" width="45.54296875" style="296" bestFit="1" customWidth="1"/>
    <col min="9979" max="9979" width="2.08984375" style="296" customWidth="1"/>
    <col min="9980" max="9980" width="22.08984375" style="296" customWidth="1"/>
    <col min="9981" max="9981" width="11.90625" style="296" bestFit="1" customWidth="1"/>
    <col min="9982" max="9982" width="11.90625" style="296" customWidth="1"/>
    <col min="9983" max="9983" width="16.90625" style="296" bestFit="1" customWidth="1"/>
    <col min="9985" max="9985" width="13" style="296" bestFit="1" customWidth="1"/>
    <col min="9986" max="9986" width="45.54296875" style="296" bestFit="1" customWidth="1"/>
    <col min="10235" max="10235" width="2.08984375" style="296" customWidth="1"/>
    <col min="10236" max="10236" width="22.08984375" style="296" customWidth="1"/>
    <col min="10237" max="10237" width="11.90625" style="296" bestFit="1" customWidth="1"/>
    <col min="10238" max="10238" width="11.90625" style="296" customWidth="1"/>
    <col min="10239" max="10239" width="16.90625" style="296" bestFit="1" customWidth="1"/>
    <col min="10241" max="10241" width="13" style="296" bestFit="1" customWidth="1"/>
    <col min="10242" max="10242" width="45.54296875" style="296" bestFit="1" customWidth="1"/>
    <col min="10491" max="10491" width="2.08984375" style="296" customWidth="1"/>
    <col min="10492" max="10492" width="22.08984375" style="296" customWidth="1"/>
    <col min="10493" max="10493" width="11.90625" style="296" bestFit="1" customWidth="1"/>
    <col min="10494" max="10494" width="11.90625" style="296" customWidth="1"/>
    <col min="10495" max="10495" width="16.90625" style="296" bestFit="1" customWidth="1"/>
    <col min="10497" max="10497" width="13" style="296" bestFit="1" customWidth="1"/>
    <col min="10498" max="10498" width="45.54296875" style="296" bestFit="1" customWidth="1"/>
    <col min="10747" max="10747" width="2.08984375" style="296" customWidth="1"/>
    <col min="10748" max="10748" width="22.08984375" style="296" customWidth="1"/>
    <col min="10749" max="10749" width="11.90625" style="296" bestFit="1" customWidth="1"/>
    <col min="10750" max="10750" width="11.90625" style="296" customWidth="1"/>
    <col min="10751" max="10751" width="16.90625" style="296" bestFit="1" customWidth="1"/>
    <col min="10753" max="10753" width="13" style="296" bestFit="1" customWidth="1"/>
    <col min="10754" max="10754" width="45.54296875" style="296" bestFit="1" customWidth="1"/>
    <col min="11003" max="11003" width="2.08984375" style="296" customWidth="1"/>
    <col min="11004" max="11004" width="22.08984375" style="296" customWidth="1"/>
    <col min="11005" max="11005" width="11.90625" style="296" bestFit="1" customWidth="1"/>
    <col min="11006" max="11006" width="11.90625" style="296" customWidth="1"/>
    <col min="11007" max="11007" width="16.90625" style="296" bestFit="1" customWidth="1"/>
    <col min="11009" max="11009" width="13" style="296" bestFit="1" customWidth="1"/>
    <col min="11010" max="11010" width="45.54296875" style="296" bestFit="1" customWidth="1"/>
    <col min="11259" max="11259" width="2.08984375" style="296" customWidth="1"/>
    <col min="11260" max="11260" width="22.08984375" style="296" customWidth="1"/>
    <col min="11261" max="11261" width="11.90625" style="296" bestFit="1" customWidth="1"/>
    <col min="11262" max="11262" width="11.90625" style="296" customWidth="1"/>
    <col min="11263" max="11263" width="16.90625" style="296" bestFit="1" customWidth="1"/>
    <col min="11265" max="11265" width="13" style="296" bestFit="1" customWidth="1"/>
    <col min="11266" max="11266" width="45.54296875" style="296" bestFit="1" customWidth="1"/>
    <col min="11515" max="11515" width="2.08984375" style="296" customWidth="1"/>
    <col min="11516" max="11516" width="22.08984375" style="296" customWidth="1"/>
    <col min="11517" max="11517" width="11.90625" style="296" bestFit="1" customWidth="1"/>
    <col min="11518" max="11518" width="11.90625" style="296" customWidth="1"/>
    <col min="11519" max="11519" width="16.90625" style="296" bestFit="1" customWidth="1"/>
    <col min="11521" max="11521" width="13" style="296" bestFit="1" customWidth="1"/>
    <col min="11522" max="11522" width="45.54296875" style="296" bestFit="1" customWidth="1"/>
    <col min="11771" max="11771" width="2.08984375" style="296" customWidth="1"/>
    <col min="11772" max="11772" width="22.08984375" style="296" customWidth="1"/>
    <col min="11773" max="11773" width="11.90625" style="296" bestFit="1" customWidth="1"/>
    <col min="11774" max="11774" width="11.90625" style="296" customWidth="1"/>
    <col min="11775" max="11775" width="16.90625" style="296" bestFit="1" customWidth="1"/>
    <col min="11777" max="11777" width="13" style="296" bestFit="1" customWidth="1"/>
    <col min="11778" max="11778" width="45.54296875" style="296" bestFit="1" customWidth="1"/>
    <col min="12027" max="12027" width="2.08984375" style="296" customWidth="1"/>
    <col min="12028" max="12028" width="22.08984375" style="296" customWidth="1"/>
    <col min="12029" max="12029" width="11.90625" style="296" bestFit="1" customWidth="1"/>
    <col min="12030" max="12030" width="11.90625" style="296" customWidth="1"/>
    <col min="12031" max="12031" width="16.90625" style="296" bestFit="1" customWidth="1"/>
    <col min="12033" max="12033" width="13" style="296" bestFit="1" customWidth="1"/>
    <col min="12034" max="12034" width="45.54296875" style="296" bestFit="1" customWidth="1"/>
    <col min="12283" max="12283" width="2.08984375" style="296" customWidth="1"/>
    <col min="12284" max="12284" width="22.08984375" style="296" customWidth="1"/>
    <col min="12285" max="12285" width="11.90625" style="296" bestFit="1" customWidth="1"/>
    <col min="12286" max="12286" width="11.90625" style="296" customWidth="1"/>
    <col min="12287" max="12287" width="16.90625" style="296" bestFit="1" customWidth="1"/>
    <col min="12289" max="12289" width="13" style="296" bestFit="1" customWidth="1"/>
    <col min="12290" max="12290" width="45.54296875" style="296" bestFit="1" customWidth="1"/>
    <col min="12539" max="12539" width="2.08984375" style="296" customWidth="1"/>
    <col min="12540" max="12540" width="22.08984375" style="296" customWidth="1"/>
    <col min="12541" max="12541" width="11.90625" style="296" bestFit="1" customWidth="1"/>
    <col min="12542" max="12542" width="11.90625" style="296" customWidth="1"/>
    <col min="12543" max="12543" width="16.90625" style="296" bestFit="1" customWidth="1"/>
    <col min="12545" max="12545" width="13" style="296" bestFit="1" customWidth="1"/>
    <col min="12546" max="12546" width="45.54296875" style="296" bestFit="1" customWidth="1"/>
    <col min="12795" max="12795" width="2.08984375" style="296" customWidth="1"/>
    <col min="12796" max="12796" width="22.08984375" style="296" customWidth="1"/>
    <col min="12797" max="12797" width="11.90625" style="296" bestFit="1" customWidth="1"/>
    <col min="12798" max="12798" width="11.90625" style="296" customWidth="1"/>
    <col min="12799" max="12799" width="16.90625" style="296" bestFit="1" customWidth="1"/>
    <col min="12801" max="12801" width="13" style="296" bestFit="1" customWidth="1"/>
    <col min="12802" max="12802" width="45.54296875" style="296" bestFit="1" customWidth="1"/>
    <col min="13051" max="13051" width="2.08984375" style="296" customWidth="1"/>
    <col min="13052" max="13052" width="22.08984375" style="296" customWidth="1"/>
    <col min="13053" max="13053" width="11.90625" style="296" bestFit="1" customWidth="1"/>
    <col min="13054" max="13054" width="11.90625" style="296" customWidth="1"/>
    <col min="13055" max="13055" width="16.90625" style="296" bestFit="1" customWidth="1"/>
    <col min="13057" max="13057" width="13" style="296" bestFit="1" customWidth="1"/>
    <col min="13058" max="13058" width="45.54296875" style="296" bestFit="1" customWidth="1"/>
    <col min="13307" max="13307" width="2.08984375" style="296" customWidth="1"/>
    <col min="13308" max="13308" width="22.08984375" style="296" customWidth="1"/>
    <col min="13309" max="13309" width="11.90625" style="296" bestFit="1" customWidth="1"/>
    <col min="13310" max="13310" width="11.90625" style="296" customWidth="1"/>
    <col min="13311" max="13311" width="16.90625" style="296" bestFit="1" customWidth="1"/>
    <col min="13313" max="13313" width="13" style="296" bestFit="1" customWidth="1"/>
    <col min="13314" max="13314" width="45.54296875" style="296" bestFit="1" customWidth="1"/>
    <col min="13563" max="13563" width="2.08984375" style="296" customWidth="1"/>
    <col min="13564" max="13564" width="22.08984375" style="296" customWidth="1"/>
    <col min="13565" max="13565" width="11.90625" style="296" bestFit="1" customWidth="1"/>
    <col min="13566" max="13566" width="11.90625" style="296" customWidth="1"/>
    <col min="13567" max="13567" width="16.90625" style="296" bestFit="1" customWidth="1"/>
    <col min="13569" max="13569" width="13" style="296" bestFit="1" customWidth="1"/>
    <col min="13570" max="13570" width="45.54296875" style="296" bestFit="1" customWidth="1"/>
    <col min="13819" max="13819" width="2.08984375" style="296" customWidth="1"/>
    <col min="13820" max="13820" width="22.08984375" style="296" customWidth="1"/>
    <col min="13821" max="13821" width="11.90625" style="296" bestFit="1" customWidth="1"/>
    <col min="13822" max="13822" width="11.90625" style="296" customWidth="1"/>
    <col min="13823" max="13823" width="16.90625" style="296" bestFit="1" customWidth="1"/>
    <col min="13825" max="13825" width="13" style="296" bestFit="1" customWidth="1"/>
    <col min="13826" max="13826" width="45.54296875" style="296" bestFit="1" customWidth="1"/>
    <col min="14075" max="14075" width="2.08984375" style="296" customWidth="1"/>
    <col min="14076" max="14076" width="22.08984375" style="296" customWidth="1"/>
    <col min="14077" max="14077" width="11.90625" style="296" bestFit="1" customWidth="1"/>
    <col min="14078" max="14078" width="11.90625" style="296" customWidth="1"/>
    <col min="14079" max="14079" width="16.90625" style="296" bestFit="1" customWidth="1"/>
    <col min="14081" max="14081" width="13" style="296" bestFit="1" customWidth="1"/>
    <col min="14082" max="14082" width="45.54296875" style="296" bestFit="1" customWidth="1"/>
    <col min="14331" max="14331" width="2.08984375" style="296" customWidth="1"/>
    <col min="14332" max="14332" width="22.08984375" style="296" customWidth="1"/>
    <col min="14333" max="14333" width="11.90625" style="296" bestFit="1" customWidth="1"/>
    <col min="14334" max="14334" width="11.90625" style="296" customWidth="1"/>
    <col min="14335" max="14335" width="16.90625" style="296" bestFit="1" customWidth="1"/>
    <col min="14337" max="14337" width="13" style="296" bestFit="1" customWidth="1"/>
    <col min="14338" max="14338" width="45.54296875" style="296" bestFit="1" customWidth="1"/>
    <col min="14587" max="14587" width="2.08984375" style="296" customWidth="1"/>
    <col min="14588" max="14588" width="22.08984375" style="296" customWidth="1"/>
    <col min="14589" max="14589" width="11.90625" style="296" bestFit="1" customWidth="1"/>
    <col min="14590" max="14590" width="11.90625" style="296" customWidth="1"/>
    <col min="14591" max="14591" width="16.90625" style="296" bestFit="1" customWidth="1"/>
    <col min="14593" max="14593" width="13" style="296" bestFit="1" customWidth="1"/>
    <col min="14594" max="14594" width="45.54296875" style="296" bestFit="1" customWidth="1"/>
    <col min="14843" max="14843" width="2.08984375" style="296" customWidth="1"/>
    <col min="14844" max="14844" width="22.08984375" style="296" customWidth="1"/>
    <col min="14845" max="14845" width="11.90625" style="296" bestFit="1" customWidth="1"/>
    <col min="14846" max="14846" width="11.90625" style="296" customWidth="1"/>
    <col min="14847" max="14847" width="16.90625" style="296" bestFit="1" customWidth="1"/>
    <col min="14849" max="14849" width="13" style="296" bestFit="1" customWidth="1"/>
    <col min="14850" max="14850" width="45.54296875" style="296" bestFit="1" customWidth="1"/>
    <col min="15099" max="15099" width="2.08984375" style="296" customWidth="1"/>
    <col min="15100" max="15100" width="22.08984375" style="296" customWidth="1"/>
    <col min="15101" max="15101" width="11.90625" style="296" bestFit="1" customWidth="1"/>
    <col min="15102" max="15102" width="11.90625" style="296" customWidth="1"/>
    <col min="15103" max="15103" width="16.90625" style="296" bestFit="1" customWidth="1"/>
    <col min="15105" max="15105" width="13" style="296" bestFit="1" customWidth="1"/>
    <col min="15106" max="15106" width="45.54296875" style="296" bestFit="1" customWidth="1"/>
    <col min="15355" max="15355" width="2.08984375" style="296" customWidth="1"/>
    <col min="15356" max="15356" width="22.08984375" style="296" customWidth="1"/>
    <col min="15357" max="15357" width="11.90625" style="296" bestFit="1" customWidth="1"/>
    <col min="15358" max="15358" width="11.90625" style="296" customWidth="1"/>
    <col min="15359" max="15359" width="16.90625" style="296" bestFit="1" customWidth="1"/>
    <col min="15361" max="15361" width="13" style="296" bestFit="1" customWidth="1"/>
    <col min="15362" max="15362" width="45.54296875" style="296" bestFit="1" customWidth="1"/>
    <col min="15611" max="15611" width="2.08984375" style="296" customWidth="1"/>
    <col min="15612" max="15612" width="22.08984375" style="296" customWidth="1"/>
    <col min="15613" max="15613" width="11.90625" style="296" bestFit="1" customWidth="1"/>
    <col min="15614" max="15614" width="11.90625" style="296" customWidth="1"/>
    <col min="15615" max="15615" width="16.90625" style="296" bestFit="1" customWidth="1"/>
    <col min="15617" max="15617" width="13" style="296" bestFit="1" customWidth="1"/>
    <col min="15618" max="15618" width="45.54296875" style="296" bestFit="1" customWidth="1"/>
    <col min="15867" max="15867" width="2.08984375" style="296" customWidth="1"/>
    <col min="15868" max="15868" width="22.08984375" style="296" customWidth="1"/>
    <col min="15869" max="15869" width="11.90625" style="296" bestFit="1" customWidth="1"/>
    <col min="15870" max="15870" width="11.90625" style="296" customWidth="1"/>
    <col min="15871" max="15871" width="16.90625" style="296" bestFit="1" customWidth="1"/>
    <col min="15873" max="15873" width="13" style="296" bestFit="1" customWidth="1"/>
    <col min="15874" max="15874" width="45.54296875" style="296" bestFit="1" customWidth="1"/>
    <col min="16123" max="16123" width="2.08984375" style="296" customWidth="1"/>
    <col min="16124" max="16124" width="22.08984375" style="296" customWidth="1"/>
    <col min="16125" max="16125" width="11.90625" style="296" bestFit="1" customWidth="1"/>
    <col min="16126" max="16126" width="11.90625" style="296" customWidth="1"/>
    <col min="16127" max="16127" width="16.90625" style="296" bestFit="1" customWidth="1"/>
    <col min="16129" max="16129" width="13" style="296" bestFit="1" customWidth="1"/>
    <col min="16130" max="16130" width="45.54296875" style="296" bestFit="1" customWidth="1"/>
  </cols>
  <sheetData>
    <row r="2" spans="2:8" s="65" customFormat="1" ht="24.65" customHeight="1">
      <c r="B2" s="310" t="s">
        <v>34</v>
      </c>
      <c r="C2" s="311"/>
      <c r="D2" s="311"/>
      <c r="E2" s="311"/>
      <c r="F2" s="311"/>
      <c r="G2" s="311"/>
      <c r="H2" s="311"/>
    </row>
    <row r="3" spans="2:8" ht="14.4" customHeight="1">
      <c r="H3" s="68" t="s">
        <v>35</v>
      </c>
    </row>
    <row r="4" spans="2:8" ht="13.75" customHeight="1" thickBot="1">
      <c r="B4" s="278" t="s">
        <v>36</v>
      </c>
    </row>
    <row r="5" spans="2:8" ht="43.75" customHeight="1" thickBot="1">
      <c r="B5" s="78" t="s">
        <v>37</v>
      </c>
      <c r="C5" s="79" t="s">
        <v>38</v>
      </c>
      <c r="D5" s="79" t="s">
        <v>39</v>
      </c>
      <c r="E5" s="79" t="s">
        <v>40</v>
      </c>
      <c r="F5" s="238" t="s">
        <v>41</v>
      </c>
      <c r="G5" s="79" t="s">
        <v>42</v>
      </c>
      <c r="H5" s="84" t="s">
        <v>43</v>
      </c>
    </row>
    <row r="6" spans="2:8" ht="14.4" customHeight="1">
      <c r="B6" s="236" t="s">
        <v>44</v>
      </c>
      <c r="C6" s="237">
        <f>'詳細設計～システムテスト 本番移行'!U68</f>
        <v>14</v>
      </c>
      <c r="D6" s="297">
        <f>C6/20</f>
        <v>0.7</v>
      </c>
      <c r="E6" s="298" t="s">
        <v>45</v>
      </c>
      <c r="F6" s="298">
        <f>D6</f>
        <v>0.7</v>
      </c>
      <c r="G6" s="299"/>
      <c r="H6" s="300">
        <f t="shared" ref="H6:H14" si="0">F6*G6</f>
        <v>0</v>
      </c>
    </row>
    <row r="7" spans="2:8" ht="14.4" customHeight="1">
      <c r="B7" s="66" t="s">
        <v>46</v>
      </c>
      <c r="C7" s="67">
        <f>'詳細設計～システムテスト 本番移行'!U62</f>
        <v>17</v>
      </c>
      <c r="D7" s="297">
        <f>C7/20</f>
        <v>0.85</v>
      </c>
      <c r="E7" s="298" t="s">
        <v>47</v>
      </c>
      <c r="F7" s="298">
        <f>D7</f>
        <v>0.85</v>
      </c>
      <c r="G7" s="299"/>
      <c r="H7" s="300">
        <f t="shared" si="0"/>
        <v>0</v>
      </c>
    </row>
    <row r="8" spans="2:8" ht="14.4" customHeight="1">
      <c r="B8" s="234" t="s">
        <v>48</v>
      </c>
      <c r="C8" s="235">
        <f>'詳細設計～システムテスト 本番移行'!U63</f>
        <v>12</v>
      </c>
      <c r="D8" s="301">
        <f>C8/20</f>
        <v>0.6</v>
      </c>
      <c r="E8" s="298" t="s">
        <v>47</v>
      </c>
      <c r="F8" s="298">
        <f>D8-F9</f>
        <v>0.6</v>
      </c>
      <c r="G8" s="299"/>
      <c r="H8" s="300">
        <f t="shared" si="0"/>
        <v>0</v>
      </c>
    </row>
    <row r="9" spans="2:8" ht="14.4" customHeight="1">
      <c r="B9" s="236"/>
      <c r="C9" s="237"/>
      <c r="D9" s="297"/>
      <c r="E9" s="298" t="s">
        <v>49</v>
      </c>
      <c r="F9" s="298">
        <v>0</v>
      </c>
      <c r="G9" s="299"/>
      <c r="H9" s="300">
        <f t="shared" si="0"/>
        <v>0</v>
      </c>
    </row>
    <row r="10" spans="2:8" ht="14.4" customHeight="1">
      <c r="B10" s="66" t="s">
        <v>50</v>
      </c>
      <c r="C10" s="67">
        <f>'詳細設計～システムテスト 本番移行'!U64</f>
        <v>26</v>
      </c>
      <c r="D10" s="297">
        <f>C10/20</f>
        <v>1.3</v>
      </c>
      <c r="E10" s="298" t="s">
        <v>47</v>
      </c>
      <c r="F10" s="298">
        <f>D10</f>
        <v>1.3</v>
      </c>
      <c r="G10" s="299"/>
      <c r="H10" s="300">
        <f t="shared" si="0"/>
        <v>0</v>
      </c>
    </row>
    <row r="11" spans="2:8" ht="14.4" customHeight="1">
      <c r="B11" s="247" t="s">
        <v>51</v>
      </c>
      <c r="C11" s="67">
        <f>'詳細設計～システムテスト 本番移行'!U65</f>
        <v>15</v>
      </c>
      <c r="D11" s="297">
        <f>C11/20</f>
        <v>0.75</v>
      </c>
      <c r="E11" s="298" t="s">
        <v>47</v>
      </c>
      <c r="F11" s="298">
        <f>D11</f>
        <v>0.75</v>
      </c>
      <c r="G11" s="299"/>
      <c r="H11" s="300">
        <f t="shared" si="0"/>
        <v>0</v>
      </c>
    </row>
    <row r="12" spans="2:8" ht="14.4" customHeight="1">
      <c r="B12" s="234" t="s">
        <v>52</v>
      </c>
      <c r="C12" s="235">
        <f>'詳細設計～システムテスト 本番移行'!U66</f>
        <v>1.5</v>
      </c>
      <c r="D12" s="301">
        <f>C12/20</f>
        <v>7.4999999999999997E-2</v>
      </c>
      <c r="E12" s="298" t="s">
        <v>47</v>
      </c>
      <c r="F12" s="298">
        <f>D12-F13</f>
        <v>7.4999999999999997E-2</v>
      </c>
      <c r="G12" s="299"/>
      <c r="H12" s="300">
        <f t="shared" si="0"/>
        <v>0</v>
      </c>
    </row>
    <row r="13" spans="2:8" ht="14.4" customHeight="1">
      <c r="B13" s="236"/>
      <c r="C13" s="237"/>
      <c r="D13" s="297"/>
      <c r="E13" s="298" t="s">
        <v>49</v>
      </c>
      <c r="F13" s="298">
        <v>0</v>
      </c>
      <c r="G13" s="299"/>
      <c r="H13" s="300">
        <f t="shared" si="0"/>
        <v>0</v>
      </c>
    </row>
    <row r="14" spans="2:8" ht="15" customHeight="1" thickBot="1">
      <c r="B14" s="66" t="s">
        <v>53</v>
      </c>
      <c r="C14" s="233">
        <f>'詳細設計～システムテスト 本番移行'!U67</f>
        <v>3</v>
      </c>
      <c r="D14" s="297">
        <f>C14/20</f>
        <v>0.15</v>
      </c>
      <c r="E14" s="298" t="s">
        <v>47</v>
      </c>
      <c r="F14" s="298">
        <f>D14</f>
        <v>0.15</v>
      </c>
      <c r="G14" s="299"/>
      <c r="H14" s="300">
        <f t="shared" si="0"/>
        <v>0</v>
      </c>
    </row>
    <row r="15" spans="2:8" ht="16.75" customHeight="1" thickBot="1">
      <c r="B15" s="80" t="s">
        <v>54</v>
      </c>
      <c r="C15" s="81"/>
      <c r="D15" s="302">
        <f>SUM(D6:D14)</f>
        <v>4.4250000000000007</v>
      </c>
      <c r="E15" s="303"/>
      <c r="F15" s="303"/>
      <c r="G15" s="303"/>
      <c r="H15" s="85">
        <f>SUM(H6:H14)</f>
        <v>0</v>
      </c>
    </row>
    <row r="18" spans="2:8" ht="13.75" hidden="1" customHeight="1" thickBot="1">
      <c r="B18" s="278" t="s">
        <v>55</v>
      </c>
    </row>
    <row r="19" spans="2:8" ht="43.75" hidden="1" customHeight="1" thickBot="1">
      <c r="B19" s="78" t="s">
        <v>37</v>
      </c>
      <c r="C19" s="79" t="s">
        <v>38</v>
      </c>
      <c r="D19" s="79" t="s">
        <v>39</v>
      </c>
      <c r="E19" s="79" t="s">
        <v>40</v>
      </c>
      <c r="F19" s="238" t="s">
        <v>41</v>
      </c>
      <c r="G19" s="79" t="s">
        <v>42</v>
      </c>
      <c r="H19" s="84" t="s">
        <v>43</v>
      </c>
    </row>
    <row r="20" spans="2:8" ht="14.4" hidden="1" customHeight="1">
      <c r="B20" s="236" t="s">
        <v>44</v>
      </c>
      <c r="C20" s="237">
        <f>'詳細設計～システムテスト 本番移行_2'!U68</f>
        <v>6.2</v>
      </c>
      <c r="D20" s="297">
        <f>C20/20</f>
        <v>0.31</v>
      </c>
      <c r="E20" s="298" t="s">
        <v>45</v>
      </c>
      <c r="F20" s="298">
        <f>D20</f>
        <v>0.31</v>
      </c>
      <c r="G20" s="299"/>
      <c r="H20" s="300">
        <f t="shared" ref="H20:H28" si="1">F20*G20</f>
        <v>0</v>
      </c>
    </row>
    <row r="21" spans="2:8" ht="14.4" hidden="1" customHeight="1">
      <c r="B21" s="66" t="s">
        <v>46</v>
      </c>
      <c r="C21" s="67">
        <f>'詳細設計～システムテスト 本番移行_2'!U63</f>
        <v>4.5</v>
      </c>
      <c r="D21" s="297">
        <f>C21/20</f>
        <v>0.22500000000000001</v>
      </c>
      <c r="E21" s="298" t="s">
        <v>47</v>
      </c>
      <c r="F21" s="298">
        <f>D21</f>
        <v>0.22500000000000001</v>
      </c>
      <c r="G21" s="299"/>
      <c r="H21" s="300">
        <f t="shared" si="1"/>
        <v>0</v>
      </c>
    </row>
    <row r="22" spans="2:8" ht="14.4" hidden="1" customHeight="1">
      <c r="B22" s="234" t="s">
        <v>48</v>
      </c>
      <c r="C22" s="235">
        <f>'詳細設計～システムテスト 本番移行_2'!U63</f>
        <v>4.5</v>
      </c>
      <c r="D22" s="301">
        <f>C22/20</f>
        <v>0.22500000000000001</v>
      </c>
      <c r="E22" s="298" t="s">
        <v>47</v>
      </c>
      <c r="F22" s="298">
        <f>D22-F23</f>
        <v>0.22500000000000001</v>
      </c>
      <c r="G22" s="299"/>
      <c r="H22" s="300">
        <f t="shared" si="1"/>
        <v>0</v>
      </c>
    </row>
    <row r="23" spans="2:8" ht="14.4" hidden="1" customHeight="1">
      <c r="B23" s="236"/>
      <c r="C23" s="237"/>
      <c r="D23" s="297"/>
      <c r="E23" s="298" t="s">
        <v>49</v>
      </c>
      <c r="F23" s="298">
        <v>0</v>
      </c>
      <c r="G23" s="299"/>
      <c r="H23" s="300">
        <f t="shared" si="1"/>
        <v>0</v>
      </c>
    </row>
    <row r="24" spans="2:8" ht="14.4" hidden="1" customHeight="1">
      <c r="B24" s="66" t="s">
        <v>50</v>
      </c>
      <c r="C24" s="67">
        <f>'詳細設計～システムテスト 本番移行_2'!U64</f>
        <v>11.5</v>
      </c>
      <c r="D24" s="297">
        <f>C24/20</f>
        <v>0.57499999999999996</v>
      </c>
      <c r="E24" s="298" t="s">
        <v>47</v>
      </c>
      <c r="F24" s="298">
        <f>D24</f>
        <v>0.57499999999999996</v>
      </c>
      <c r="G24" s="299"/>
      <c r="H24" s="300">
        <f t="shared" si="1"/>
        <v>0</v>
      </c>
    </row>
    <row r="25" spans="2:8" ht="14.4" hidden="1" customHeight="1">
      <c r="B25" s="247" t="s">
        <v>51</v>
      </c>
      <c r="C25" s="67">
        <f>'詳細設計～システムテスト 本番移行_2'!U65</f>
        <v>7</v>
      </c>
      <c r="D25" s="297">
        <f>C25/20</f>
        <v>0.35</v>
      </c>
      <c r="E25" s="298" t="s">
        <v>47</v>
      </c>
      <c r="F25" s="298">
        <f>D25</f>
        <v>0.35</v>
      </c>
      <c r="G25" s="299"/>
      <c r="H25" s="300">
        <f t="shared" si="1"/>
        <v>0</v>
      </c>
    </row>
    <row r="26" spans="2:8" ht="14.4" hidden="1" customHeight="1">
      <c r="B26" s="234" t="s">
        <v>52</v>
      </c>
      <c r="C26" s="235">
        <f>'詳細設計～システムテスト 本番移行_2'!U66</f>
        <v>0</v>
      </c>
      <c r="D26" s="301">
        <f>C26/20</f>
        <v>0</v>
      </c>
      <c r="E26" s="298" t="s">
        <v>47</v>
      </c>
      <c r="F26" s="298">
        <f>D26-F27</f>
        <v>0</v>
      </c>
      <c r="G26" s="299"/>
      <c r="H26" s="300">
        <f t="shared" si="1"/>
        <v>0</v>
      </c>
    </row>
    <row r="27" spans="2:8" ht="14.4" hidden="1" customHeight="1">
      <c r="B27" s="236"/>
      <c r="C27" s="237"/>
      <c r="D27" s="297"/>
      <c r="E27" s="298" t="s">
        <v>49</v>
      </c>
      <c r="F27" s="298">
        <v>0</v>
      </c>
      <c r="G27" s="299"/>
      <c r="H27" s="300">
        <f t="shared" si="1"/>
        <v>0</v>
      </c>
    </row>
    <row r="28" spans="2:8" ht="15" hidden="1" customHeight="1" thickBot="1">
      <c r="B28" s="66" t="s">
        <v>53</v>
      </c>
      <c r="C28" s="233">
        <f>'詳細設計～システムテスト 本番移行_2'!U67</f>
        <v>3</v>
      </c>
      <c r="D28" s="297">
        <f>C28/20</f>
        <v>0.15</v>
      </c>
      <c r="E28" s="298" t="s">
        <v>47</v>
      </c>
      <c r="F28" s="298">
        <f>D28</f>
        <v>0.15</v>
      </c>
      <c r="G28" s="299"/>
      <c r="H28" s="300">
        <f t="shared" si="1"/>
        <v>0</v>
      </c>
    </row>
    <row r="29" spans="2:8" ht="16.75" hidden="1" customHeight="1" thickBot="1">
      <c r="B29" s="80" t="s">
        <v>54</v>
      </c>
      <c r="C29" s="81"/>
      <c r="D29" s="302">
        <f>SUM(D20:D28)</f>
        <v>1.835</v>
      </c>
      <c r="E29" s="303"/>
      <c r="F29" s="303"/>
      <c r="G29" s="303"/>
      <c r="H29" s="85">
        <f>SUM(H20:H28)</f>
        <v>0</v>
      </c>
    </row>
    <row r="30" spans="2:8" hidden="1"/>
  </sheetData>
  <mergeCells count="1">
    <mergeCell ref="B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9"/>
  <sheetViews>
    <sheetView showGridLines="0" zoomScale="55" zoomScaleNormal="55" workbookViewId="0"/>
  </sheetViews>
  <sheetFormatPr defaultColWidth="8.90625" defaultRowHeight="15.5"/>
  <cols>
    <col min="1" max="3" width="8.90625" style="274" customWidth="1"/>
    <col min="4" max="4" width="73" style="274" customWidth="1"/>
    <col min="5" max="5" width="8.90625" style="274" customWidth="1"/>
    <col min="6" max="16384" width="8.90625" style="274"/>
  </cols>
  <sheetData>
    <row r="1" spans="2:4" ht="16.25" customHeight="1" thickBot="1"/>
    <row r="2" spans="2:4" ht="18.649999999999999" customHeight="1" thickBot="1">
      <c r="B2" s="312" t="str">
        <f ca="1">見積総額!B2&amp;"　" &amp; RIGHT(CELL("filename", A1), LEN(CELL("filename", A1))-FIND("]",CELL("filename", A1)))</f>
        <v>Sample Project　対応方針</v>
      </c>
      <c r="C2" s="313"/>
      <c r="D2" s="314"/>
    </row>
    <row r="28" spans="4:4">
      <c r="D28" s="276"/>
    </row>
    <row r="29" spans="4:4">
      <c r="D29" s="276"/>
    </row>
    <row r="54" spans="16:16">
      <c r="P54" s="275"/>
    </row>
    <row r="74" spans="2:2" ht="13.25" customHeight="1"/>
    <row r="79" spans="2:2">
      <c r="B79" s="275"/>
    </row>
  </sheetData>
  <mergeCells count="1">
    <mergeCell ref="B2:D2"/>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showGridLines="0" zoomScale="85" zoomScaleNormal="85" workbookViewId="0">
      <pane ySplit="4" topLeftCell="A5" activePane="bottomLeft" state="frozen"/>
      <selection pane="bottomLeft"/>
    </sheetView>
  </sheetViews>
  <sheetFormatPr defaultColWidth="9" defaultRowHeight="14"/>
  <cols>
    <col min="1" max="1" width="1.90625" style="93" customWidth="1"/>
    <col min="2" max="2" width="5.36328125" style="87" bestFit="1" customWidth="1"/>
    <col min="3" max="3" width="36.90625" style="88" customWidth="1"/>
    <col min="4" max="4" width="90.54296875" style="88" customWidth="1"/>
    <col min="5" max="5" width="9" style="88" customWidth="1"/>
    <col min="6" max="16384" width="9" style="88"/>
  </cols>
  <sheetData>
    <row r="1" spans="1:4" ht="13.75" customHeight="1" thickBot="1">
      <c r="A1" s="88"/>
      <c r="B1" s="88"/>
      <c r="C1" s="87"/>
      <c r="D1" s="87"/>
    </row>
    <row r="2" spans="1:4" s="65" customFormat="1" ht="27.65" customHeight="1" thickBot="1">
      <c r="B2" s="315" t="str">
        <f ca="1">見積総額!B2&amp;"　" &amp; RIGHT(CELL("filename", A1), LEN(CELL("filename", A1))-FIND("]",CELL("filename", A1)))</f>
        <v>Sample Project　前提条件</v>
      </c>
      <c r="C2" s="313"/>
      <c r="D2" s="314"/>
    </row>
    <row r="3" spans="1:4" ht="15" customHeight="1" thickBot="1">
      <c r="D3" s="68" t="s">
        <v>56</v>
      </c>
    </row>
    <row r="4" spans="1:4" ht="13.75" customHeight="1" thickBot="1">
      <c r="A4" s="88"/>
      <c r="B4" s="94" t="s">
        <v>57</v>
      </c>
      <c r="C4" s="95" t="s">
        <v>58</v>
      </c>
      <c r="D4" s="96" t="s">
        <v>59</v>
      </c>
    </row>
    <row r="5" spans="1:4" ht="61.25" customHeight="1" thickTop="1">
      <c r="A5" s="88"/>
      <c r="B5" s="100"/>
      <c r="C5" s="232"/>
      <c r="D5" s="176"/>
    </row>
    <row r="6" spans="1:4" ht="35.4" customHeight="1">
      <c r="A6" s="88"/>
      <c r="B6" s="101"/>
      <c r="C6" s="92"/>
      <c r="D6" s="102"/>
    </row>
    <row r="7" spans="1:4" ht="35.4" customHeight="1">
      <c r="A7" s="88"/>
      <c r="B7" s="101"/>
      <c r="C7" s="92"/>
      <c r="D7" s="102"/>
    </row>
    <row r="8" spans="1:4" ht="47.4" customHeight="1">
      <c r="A8" s="88"/>
      <c r="B8" s="101"/>
      <c r="C8" s="92"/>
      <c r="D8" s="89"/>
    </row>
    <row r="9" spans="1:4" ht="205.75" customHeight="1">
      <c r="A9" s="88"/>
      <c r="B9" s="101"/>
      <c r="C9" s="92"/>
      <c r="D9" s="102"/>
    </row>
    <row r="10" spans="1:4" ht="102" customHeight="1">
      <c r="A10" s="88"/>
      <c r="B10" s="101"/>
      <c r="C10" s="92"/>
      <c r="D10" s="102"/>
    </row>
    <row r="11" spans="1:4" ht="146.4" customHeight="1">
      <c r="A11" s="88"/>
      <c r="B11" s="101"/>
      <c r="C11" s="92"/>
      <c r="D11" s="102"/>
    </row>
    <row r="12" spans="1:4" ht="118.75" customHeight="1">
      <c r="A12" s="88"/>
      <c r="B12" s="101"/>
      <c r="C12" s="92"/>
      <c r="D12" s="102"/>
    </row>
    <row r="13" spans="1:4" ht="102" customHeight="1">
      <c r="A13" s="88"/>
      <c r="B13" s="101"/>
      <c r="C13" s="90"/>
      <c r="D13" s="89"/>
    </row>
    <row r="14" spans="1:4" ht="13.25" customHeight="1">
      <c r="A14" s="88"/>
      <c r="B14" s="101"/>
      <c r="C14" s="92"/>
      <c r="D14" s="102"/>
    </row>
    <row r="15" spans="1:4" ht="13.25" customHeight="1">
      <c r="A15" s="88"/>
      <c r="B15" s="101"/>
      <c r="C15" s="92"/>
      <c r="D15" s="102"/>
    </row>
    <row r="16" spans="1:4" ht="85.25" customHeight="1">
      <c r="A16" s="88"/>
      <c r="B16" s="101"/>
      <c r="C16" s="92"/>
      <c r="D16" s="102"/>
    </row>
    <row r="17" spans="1:4" ht="44.4" customHeight="1">
      <c r="A17" s="88"/>
      <c r="B17" s="101"/>
      <c r="C17" s="92"/>
      <c r="D17" s="102"/>
    </row>
    <row r="18" spans="1:4" ht="13.25" customHeight="1">
      <c r="A18" s="88"/>
      <c r="B18" s="101"/>
      <c r="C18" s="92"/>
      <c r="D18" s="102"/>
    </row>
    <row r="19" spans="1:4" ht="13.25" customHeight="1">
      <c r="A19" s="88"/>
      <c r="B19" s="101"/>
      <c r="C19" s="92"/>
      <c r="D19" s="102"/>
    </row>
    <row r="20" spans="1:4" ht="13.25" customHeight="1">
      <c r="A20" s="88"/>
      <c r="B20" s="101"/>
      <c r="C20" s="90"/>
      <c r="D20" s="177"/>
    </row>
    <row r="21" spans="1:4" ht="13.75" customHeight="1" thickBot="1">
      <c r="A21" s="88"/>
      <c r="B21" s="101"/>
      <c r="C21" s="178"/>
      <c r="D21" s="91"/>
    </row>
    <row r="22" spans="1:4" ht="13.25" customHeight="1">
      <c r="A22" s="88"/>
      <c r="B22" s="88"/>
    </row>
    <row r="23" spans="1:4" ht="13.25" customHeight="1">
      <c r="A23" s="88"/>
      <c r="B23" s="88"/>
    </row>
    <row r="24" spans="1:4" ht="13.25" customHeight="1">
      <c r="A24" s="88"/>
      <c r="B24" s="88"/>
    </row>
    <row r="25" spans="1:4">
      <c r="B25" s="88"/>
    </row>
    <row r="26" spans="1:4">
      <c r="B26" s="88"/>
    </row>
    <row r="27" spans="1:4">
      <c r="B27" s="88"/>
    </row>
    <row r="28" spans="1:4">
      <c r="B28" s="88"/>
    </row>
    <row r="29" spans="1:4">
      <c r="B29" s="88"/>
    </row>
    <row r="30" spans="1:4">
      <c r="B30" s="88"/>
    </row>
    <row r="31" spans="1:4">
      <c r="B31" s="88"/>
    </row>
    <row r="32" spans="1:4">
      <c r="B32" s="88"/>
    </row>
    <row r="33" spans="2:2">
      <c r="B33" s="88"/>
    </row>
    <row r="34" spans="2:2">
      <c r="B34" s="88"/>
    </row>
    <row r="35" spans="2:2">
      <c r="B35" s="88"/>
    </row>
    <row r="36" spans="2:2">
      <c r="B36" s="88"/>
    </row>
    <row r="37" spans="2:2">
      <c r="B37" s="88"/>
    </row>
    <row r="38" spans="2:2">
      <c r="B38" s="88"/>
    </row>
    <row r="39" spans="2:2">
      <c r="B39" s="88"/>
    </row>
    <row r="40" spans="2:2">
      <c r="B40" s="88"/>
    </row>
    <row r="41" spans="2:2">
      <c r="B41" s="88"/>
    </row>
    <row r="42" spans="2:2">
      <c r="B42" s="88"/>
    </row>
    <row r="43" spans="2:2">
      <c r="B43" s="88"/>
    </row>
    <row r="44" spans="2:2">
      <c r="B44" s="88"/>
    </row>
    <row r="45" spans="2:2">
      <c r="B45" s="88"/>
    </row>
  </sheetData>
  <mergeCells count="1">
    <mergeCell ref="B2:D2"/>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9"/>
  <sheetViews>
    <sheetView showGridLines="0" topLeftCell="A10" zoomScale="85" zoomScaleNormal="85" workbookViewId="0">
      <selection activeCell="B11" sqref="B11"/>
    </sheetView>
  </sheetViews>
  <sheetFormatPr defaultRowHeight="13"/>
  <cols>
    <col min="1" max="2" width="8.90625" style="296" customWidth="1"/>
    <col min="3" max="5" width="8.90625" style="97" customWidth="1"/>
    <col min="6" max="6" width="8.90625" style="296" customWidth="1"/>
  </cols>
  <sheetData>
    <row r="1" spans="2:27" ht="22.65" customHeight="1" thickBot="1"/>
    <row r="2" spans="2:27" ht="49.65" customHeight="1" thickBot="1">
      <c r="B2" s="315" t="str">
        <f ca="1">見積総額!B2&amp;"　" &amp; RIGHT(CELL("filename", B1), LEN(CELL("filename", B1))-FIND("]",CELL("filename", B1)))</f>
        <v>Sample Project　システム構成図</v>
      </c>
      <c r="C2" s="313"/>
      <c r="D2" s="313"/>
      <c r="E2" s="313"/>
      <c r="F2" s="313"/>
      <c r="G2" s="313"/>
      <c r="H2" s="313"/>
      <c r="I2" s="313"/>
      <c r="J2" s="313"/>
      <c r="K2" s="313"/>
      <c r="L2" s="313"/>
      <c r="M2" s="313"/>
      <c r="N2" s="313"/>
      <c r="O2" s="313"/>
      <c r="P2" s="313"/>
      <c r="Q2" s="313"/>
      <c r="R2" s="313"/>
      <c r="S2" s="313"/>
      <c r="T2" s="313"/>
      <c r="U2" s="313"/>
      <c r="V2" s="313"/>
      <c r="W2" s="313"/>
      <c r="X2" s="314"/>
    </row>
    <row r="3" spans="2:27">
      <c r="C3" s="278"/>
      <c r="D3" s="278"/>
      <c r="E3" s="278"/>
      <c r="G3" s="97"/>
      <c r="H3" s="97"/>
      <c r="I3" s="97"/>
      <c r="J3" s="97"/>
      <c r="K3" s="97"/>
    </row>
    <row r="4" spans="2:27">
      <c r="C4" s="278"/>
      <c r="D4" s="278"/>
      <c r="E4" s="278"/>
    </row>
    <row r="5" spans="2:27">
      <c r="C5" s="278"/>
      <c r="D5" s="278"/>
      <c r="E5" s="278"/>
      <c r="N5" s="98"/>
      <c r="O5" s="98"/>
      <c r="P5" s="98"/>
      <c r="Q5" s="98"/>
      <c r="R5" s="98"/>
      <c r="T5" s="97"/>
      <c r="V5" s="98"/>
    </row>
    <row r="6" spans="2:27">
      <c r="C6" s="278"/>
      <c r="D6" s="278"/>
      <c r="E6" s="278"/>
      <c r="G6" s="98"/>
      <c r="N6" s="98"/>
      <c r="O6" s="98"/>
      <c r="P6" s="98"/>
      <c r="Q6" s="98"/>
      <c r="R6" s="98"/>
      <c r="T6" s="97"/>
    </row>
    <row r="7" spans="2:27">
      <c r="C7" s="278"/>
      <c r="D7" s="278"/>
      <c r="E7" s="278"/>
      <c r="T7" s="97"/>
    </row>
    <row r="8" spans="2:27">
      <c r="C8" s="278"/>
      <c r="D8" s="278"/>
      <c r="E8" s="278"/>
      <c r="T8" s="97"/>
    </row>
    <row r="9" spans="2:27">
      <c r="C9" s="278"/>
      <c r="D9" s="278"/>
      <c r="E9" s="278"/>
      <c r="Q9" s="98"/>
      <c r="T9" s="97"/>
    </row>
    <row r="10" spans="2:27">
      <c r="C10" s="278"/>
      <c r="D10" s="278"/>
      <c r="E10" s="278"/>
      <c r="N10" s="97"/>
      <c r="O10" s="97"/>
      <c r="P10" s="97"/>
      <c r="Q10" s="97"/>
      <c r="R10" s="97"/>
      <c r="AA10" s="97"/>
    </row>
    <row r="11" spans="2:27">
      <c r="C11" s="278"/>
      <c r="D11" s="278"/>
      <c r="E11" s="278"/>
      <c r="N11" s="97"/>
      <c r="O11" s="97"/>
      <c r="P11" s="97"/>
      <c r="Q11" s="97"/>
      <c r="R11" s="97"/>
      <c r="AA11" s="97"/>
    </row>
    <row r="12" spans="2:27">
      <c r="C12" s="278"/>
      <c r="D12" s="278"/>
      <c r="E12" s="278"/>
      <c r="N12" s="97"/>
      <c r="O12" s="97"/>
      <c r="P12" s="97"/>
      <c r="Q12" s="97"/>
      <c r="R12" s="97"/>
      <c r="AA12" s="97"/>
    </row>
    <row r="13" spans="2:27">
      <c r="C13" s="278"/>
      <c r="D13" s="278"/>
      <c r="E13" s="278"/>
      <c r="N13" s="97"/>
      <c r="O13" s="97"/>
      <c r="P13" s="97"/>
      <c r="Q13" s="97"/>
      <c r="R13" s="97"/>
      <c r="AA13" s="97"/>
    </row>
    <row r="14" spans="2:27">
      <c r="C14" s="278"/>
      <c r="D14" s="278"/>
      <c r="E14" s="278"/>
      <c r="N14" s="97"/>
      <c r="O14" s="97"/>
      <c r="P14" s="97"/>
      <c r="Q14" s="97"/>
      <c r="R14" s="97"/>
      <c r="AA14" s="97"/>
    </row>
    <row r="15" spans="2:27">
      <c r="C15" s="278"/>
      <c r="D15" s="278"/>
      <c r="E15" s="278"/>
      <c r="N15" s="97"/>
      <c r="O15" s="97"/>
      <c r="P15" s="97"/>
      <c r="Q15" s="97"/>
      <c r="R15" s="97"/>
      <c r="AA15" s="97"/>
    </row>
    <row r="16" spans="2:27">
      <c r="C16" s="278"/>
      <c r="D16" s="278"/>
      <c r="E16" s="278"/>
      <c r="N16" s="97"/>
      <c r="O16" s="97"/>
      <c r="P16" s="97"/>
      <c r="Q16" s="97"/>
      <c r="R16" s="97"/>
      <c r="AA16" s="97"/>
    </row>
    <row r="17" spans="3:29">
      <c r="C17" s="278"/>
      <c r="D17" s="278"/>
      <c r="E17" s="278"/>
      <c r="N17" s="97"/>
      <c r="O17" s="97"/>
      <c r="P17" s="97"/>
      <c r="Q17" s="97"/>
      <c r="R17" s="97"/>
      <c r="AA17" s="97"/>
    </row>
    <row r="18" spans="3:29">
      <c r="C18" s="278"/>
      <c r="D18" s="278"/>
      <c r="E18" s="278"/>
      <c r="N18" s="97"/>
      <c r="O18" s="97"/>
      <c r="P18" s="97"/>
      <c r="Q18" s="97"/>
      <c r="R18" s="97"/>
    </row>
    <row r="19" spans="3:29">
      <c r="C19" s="278"/>
      <c r="D19" s="278"/>
      <c r="E19" s="278"/>
      <c r="N19" s="97"/>
      <c r="O19" s="97"/>
      <c r="P19" s="97"/>
      <c r="Q19" s="97"/>
      <c r="R19" s="97"/>
    </row>
    <row r="20" spans="3:29">
      <c r="C20" s="278"/>
      <c r="D20" s="278"/>
      <c r="E20" s="278"/>
      <c r="N20" s="97"/>
      <c r="O20" s="97"/>
      <c r="P20" s="97"/>
      <c r="Q20" s="97"/>
      <c r="R20" s="97"/>
    </row>
    <row r="21" spans="3:29">
      <c r="C21" s="278"/>
      <c r="D21" s="278"/>
      <c r="E21" s="278"/>
      <c r="N21" s="97"/>
      <c r="O21" s="97"/>
      <c r="P21" s="97"/>
      <c r="Q21" s="97"/>
      <c r="Z21" s="97"/>
      <c r="AC21" s="97"/>
    </row>
    <row r="22" spans="3:29">
      <c r="C22" s="278"/>
      <c r="D22" s="278"/>
      <c r="E22" s="278"/>
      <c r="N22" s="97"/>
      <c r="O22" s="97"/>
      <c r="P22" s="97"/>
      <c r="Q22" s="97"/>
      <c r="Z22" s="97"/>
      <c r="AC22" s="97"/>
    </row>
    <row r="23" spans="3:29">
      <c r="C23" s="278"/>
      <c r="D23" s="278"/>
      <c r="E23" s="278"/>
      <c r="N23" s="97"/>
      <c r="O23" s="97"/>
      <c r="P23" s="97"/>
      <c r="Q23" s="97"/>
      <c r="Z23" s="97"/>
      <c r="AC23" s="97"/>
    </row>
    <row r="24" spans="3:29">
      <c r="C24" s="278"/>
      <c r="D24" s="278"/>
      <c r="E24" s="278"/>
      <c r="N24" s="97"/>
      <c r="O24" s="97"/>
      <c r="P24" s="97"/>
      <c r="Q24" s="97"/>
      <c r="Z24" s="97"/>
      <c r="AC24" s="97"/>
    </row>
    <row r="25" spans="3:29">
      <c r="C25" s="278"/>
      <c r="D25" s="278"/>
      <c r="E25" s="278"/>
      <c r="N25" s="97"/>
      <c r="O25" s="97"/>
      <c r="P25" s="97"/>
      <c r="Q25" s="97"/>
      <c r="Z25" s="97"/>
      <c r="AC25" s="97"/>
    </row>
    <row r="26" spans="3:29">
      <c r="C26" s="278"/>
      <c r="D26" s="278"/>
      <c r="E26" s="278"/>
      <c r="N26" s="97"/>
      <c r="O26" s="97"/>
      <c r="P26" s="97"/>
      <c r="Q26" s="97"/>
      <c r="Z26" s="97"/>
      <c r="AC26" s="97"/>
    </row>
    <row r="27" spans="3:29">
      <c r="C27" s="278"/>
      <c r="D27" s="278"/>
      <c r="E27" s="278"/>
      <c r="N27" s="97"/>
      <c r="O27" s="97"/>
      <c r="P27" s="97"/>
      <c r="Z27" s="97"/>
      <c r="AC27" s="97"/>
    </row>
    <row r="28" spans="3:29">
      <c r="C28" s="278"/>
      <c r="D28" s="278"/>
      <c r="E28" s="278"/>
      <c r="N28" s="97"/>
      <c r="O28" s="97"/>
      <c r="P28" s="97"/>
      <c r="Z28" s="97"/>
      <c r="AC28" s="97"/>
    </row>
    <row r="29" spans="3:29">
      <c r="C29" s="278"/>
      <c r="D29" s="278"/>
      <c r="E29" s="278"/>
      <c r="N29" s="97"/>
      <c r="O29" s="97"/>
      <c r="P29" s="97"/>
      <c r="Q29" s="97"/>
      <c r="Z29" s="97"/>
      <c r="AC29" s="97"/>
    </row>
    <row r="30" spans="3:29">
      <c r="C30" s="278"/>
      <c r="D30" s="278"/>
      <c r="E30" s="278"/>
      <c r="N30" s="97"/>
      <c r="O30" s="97"/>
      <c r="P30" s="97"/>
      <c r="Q30" s="97"/>
      <c r="Z30" s="97"/>
      <c r="AC30" s="97"/>
    </row>
    <row r="31" spans="3:29">
      <c r="C31" s="278"/>
      <c r="D31" s="278"/>
      <c r="E31" s="278"/>
      <c r="N31" s="97"/>
      <c r="O31" s="97"/>
      <c r="P31" s="97"/>
      <c r="Q31" s="97"/>
      <c r="Z31" s="97"/>
      <c r="AC31" s="97"/>
    </row>
    <row r="32" spans="3:29">
      <c r="C32" s="278"/>
      <c r="D32" s="278"/>
      <c r="E32" s="278"/>
      <c r="N32" s="97"/>
      <c r="O32" s="97"/>
      <c r="P32" s="97"/>
      <c r="Q32" s="97"/>
      <c r="Z32" s="97"/>
      <c r="AC32" s="97"/>
    </row>
    <row r="33" spans="3:32">
      <c r="C33" s="278"/>
      <c r="D33" s="278"/>
      <c r="E33" s="278"/>
      <c r="N33" s="97"/>
      <c r="O33" s="97"/>
      <c r="P33" s="97"/>
      <c r="Q33" s="97"/>
      <c r="T33" s="99"/>
      <c r="Z33" s="97"/>
      <c r="AC33" s="97"/>
    </row>
    <row r="34" spans="3:32">
      <c r="C34" s="278"/>
      <c r="D34" s="278"/>
      <c r="E34" s="278"/>
      <c r="N34" s="97"/>
      <c r="O34" s="97"/>
      <c r="P34" s="97"/>
      <c r="Q34" s="97"/>
      <c r="T34" s="99"/>
      <c r="Z34" s="97"/>
      <c r="AC34" s="97"/>
    </row>
    <row r="35" spans="3:32">
      <c r="C35" s="278"/>
      <c r="D35" s="278"/>
      <c r="E35" s="278"/>
      <c r="N35" s="97"/>
      <c r="O35" s="97"/>
      <c r="P35" s="97"/>
      <c r="Q35" s="97"/>
      <c r="Z35" s="97"/>
      <c r="AC35" s="97"/>
    </row>
    <row r="36" spans="3:32">
      <c r="C36" s="278"/>
      <c r="D36" s="278"/>
      <c r="E36" s="278"/>
      <c r="N36" s="97"/>
      <c r="O36" s="97"/>
      <c r="P36" s="97"/>
      <c r="Q36" s="97"/>
      <c r="Z36" s="97"/>
      <c r="AC36" s="97"/>
    </row>
    <row r="37" spans="3:32">
      <c r="C37" s="278"/>
      <c r="D37" s="278"/>
      <c r="E37" s="278"/>
      <c r="N37" s="97"/>
      <c r="O37" s="97"/>
      <c r="P37" s="97"/>
      <c r="Q37" s="97"/>
      <c r="Z37" s="97"/>
      <c r="AC37" s="97"/>
    </row>
    <row r="38" spans="3:32">
      <c r="C38" s="278"/>
      <c r="D38" s="278"/>
      <c r="E38" s="278"/>
      <c r="N38" s="97"/>
      <c r="O38" s="97"/>
      <c r="P38" s="97"/>
      <c r="Q38" s="97"/>
      <c r="Z38" s="97"/>
      <c r="AC38" s="97"/>
    </row>
    <row r="39" spans="3:32">
      <c r="C39" s="278"/>
      <c r="D39" s="278"/>
      <c r="E39" s="278"/>
      <c r="N39" s="97"/>
      <c r="O39" s="97"/>
      <c r="P39" s="97"/>
      <c r="Q39" s="97"/>
      <c r="Z39" s="97"/>
      <c r="AC39" s="97"/>
    </row>
    <row r="40" spans="3:32">
      <c r="C40" s="278"/>
      <c r="D40" s="278"/>
      <c r="E40" s="278"/>
      <c r="N40" s="97"/>
      <c r="O40" s="97"/>
      <c r="P40" s="97"/>
      <c r="Q40" s="97"/>
      <c r="Z40" s="97"/>
      <c r="AC40" s="97"/>
    </row>
    <row r="41" spans="3:32">
      <c r="C41" s="278"/>
      <c r="D41" s="278"/>
      <c r="E41" s="278"/>
      <c r="N41" s="97"/>
      <c r="O41" s="97"/>
      <c r="P41" s="97"/>
      <c r="Q41" s="97"/>
      <c r="Z41" s="97"/>
      <c r="AC41" s="97"/>
    </row>
    <row r="42" spans="3:32">
      <c r="C42" s="278"/>
      <c r="D42" s="278"/>
      <c r="E42" s="278"/>
      <c r="N42" s="97"/>
      <c r="O42" s="97"/>
      <c r="P42" s="97"/>
      <c r="Q42" s="97"/>
      <c r="Z42" s="97"/>
      <c r="AC42" s="97"/>
    </row>
    <row r="43" spans="3:32">
      <c r="C43" s="278"/>
      <c r="D43" s="278"/>
      <c r="E43" s="278"/>
      <c r="N43" s="97"/>
      <c r="O43" s="97"/>
      <c r="P43" s="97"/>
      <c r="Q43" s="97"/>
      <c r="Z43" s="97"/>
      <c r="AC43" s="97"/>
    </row>
    <row r="44" spans="3:32">
      <c r="C44" s="278"/>
      <c r="D44" s="278"/>
      <c r="E44" s="278"/>
      <c r="N44" s="97"/>
      <c r="O44" s="97"/>
      <c r="P44" s="97"/>
      <c r="Q44" s="97"/>
      <c r="Z44" s="97"/>
      <c r="AA44" s="97"/>
      <c r="AE44" s="99"/>
      <c r="AF44" s="99"/>
    </row>
    <row r="45" spans="3:32">
      <c r="C45" s="278"/>
      <c r="D45" s="278"/>
      <c r="E45" s="278"/>
      <c r="N45" s="97"/>
      <c r="O45" s="97"/>
      <c r="P45" s="97"/>
      <c r="Q45" s="97"/>
      <c r="Z45" s="97"/>
      <c r="AA45" s="97"/>
      <c r="AE45" s="99"/>
      <c r="AF45" s="99"/>
    </row>
    <row r="46" spans="3:32">
      <c r="C46" s="278"/>
      <c r="D46" s="278"/>
      <c r="E46" s="278"/>
      <c r="N46" s="97"/>
      <c r="O46" s="97"/>
      <c r="P46" s="97"/>
      <c r="Q46" s="97"/>
      <c r="Z46" s="97"/>
      <c r="AA46" s="97"/>
      <c r="AE46" s="99"/>
      <c r="AF46" s="99"/>
    </row>
    <row r="47" spans="3:32">
      <c r="C47" s="278"/>
      <c r="D47" s="278"/>
      <c r="E47" s="278"/>
      <c r="N47" s="97"/>
      <c r="O47" s="97"/>
      <c r="P47" s="97"/>
      <c r="Q47" s="97"/>
      <c r="R47" s="97"/>
      <c r="AA47" s="97"/>
    </row>
    <row r="48" spans="3:32">
      <c r="C48" s="278"/>
      <c r="D48" s="278"/>
      <c r="E48" s="278"/>
      <c r="N48" s="97"/>
      <c r="O48" s="97"/>
      <c r="P48" s="97"/>
      <c r="Q48" s="97"/>
      <c r="R48" s="97"/>
    </row>
    <row r="49" spans="3:18">
      <c r="C49" s="278"/>
      <c r="D49" s="278"/>
      <c r="E49" s="278"/>
      <c r="N49" s="97"/>
      <c r="O49" s="97"/>
      <c r="P49" s="97"/>
      <c r="Q49" s="97"/>
      <c r="R49" s="97"/>
    </row>
  </sheetData>
  <mergeCells count="1">
    <mergeCell ref="B2:X2"/>
  </mergeCells>
  <printOptions horizontalCentered="1"/>
  <pageMargins left="0.19685039370078741" right="0.19685039370078741" top="0.59055118110236227" bottom="0.39370078740157483" header="0.11811023622047249" footer="0.11811023622047249"/>
  <pageSetup paperSize="9" fitToHeight="99" orientation="landscape" verticalDpi="300"/>
  <headerFooter alignWithMargins="0">
    <oddHeader>&amp;L&amp;6 &amp;A&amp;R&amp;6 印刷日：&amp;D</oddHeader>
    <oddFooter>&amp;L&amp;6 &amp;F&amp;C&amp;8 &amp;N　-　&amp;P&amp;R&amp;6 使う側の立場を十分に考慮して、システム設計を行います。
All Rights Reserved. Copyrights Suntory limited.</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1"/>
  <sheetViews>
    <sheetView showGridLines="0" tabSelected="1" zoomScale="70" zoomScaleNormal="70" zoomScaleSheetLayoutView="70" workbookViewId="0">
      <pane ySplit="7" topLeftCell="A8" activePane="bottomLeft" state="frozen"/>
      <selection pane="bottomLeft"/>
    </sheetView>
  </sheetViews>
  <sheetFormatPr defaultColWidth="2.453125" defaultRowHeight="13.5"/>
  <cols>
    <col min="1" max="1" width="3.08984375" style="1" customWidth="1"/>
    <col min="2" max="2" width="4.81640625" style="1" customWidth="1"/>
    <col min="3" max="3" width="27.1796875" style="1" customWidth="1"/>
    <col min="4" max="4" width="36.36328125" style="1" customWidth="1"/>
    <col min="5" max="5" width="25" style="1" customWidth="1"/>
    <col min="6" max="6" width="8.08984375" style="1" customWidth="1"/>
    <col min="7" max="7" width="9.08984375" style="1" bestFit="1" customWidth="1"/>
    <col min="8" max="8" width="79.6328125" style="1" customWidth="1"/>
    <col min="9" max="9" width="77.08984375" style="1" customWidth="1"/>
    <col min="10" max="17" width="10.6328125" style="1" customWidth="1"/>
    <col min="18" max="18" width="13.453125" style="1" customWidth="1"/>
    <col min="19" max="21" width="10.6328125" style="1" customWidth="1"/>
    <col min="22" max="22" width="22" style="1" customWidth="1"/>
    <col min="23" max="23" width="10.54296875" style="1" customWidth="1"/>
    <col min="24" max="24" width="6.54296875" style="1" bestFit="1" customWidth="1"/>
    <col min="25" max="25" width="16.54296875" style="1" customWidth="1"/>
    <col min="26" max="26" width="32.54296875" style="1" customWidth="1"/>
    <col min="27" max="27" width="5.453125" style="1" bestFit="1" customWidth="1"/>
    <col min="28" max="28" width="4.90625" style="1" bestFit="1" customWidth="1"/>
    <col min="29" max="29" width="2.453125" style="1" customWidth="1"/>
    <col min="30" max="30" width="4.54296875" style="1" customWidth="1"/>
    <col min="31" max="263" width="2.453125" style="1" customWidth="1"/>
    <col min="264" max="264" width="3.08984375" style="1" customWidth="1"/>
    <col min="265" max="265" width="3.453125" style="1" customWidth="1"/>
    <col min="266" max="266" width="45.54296875" style="1" customWidth="1"/>
    <col min="267" max="267" width="8.08984375" style="1" customWidth="1"/>
    <col min="268" max="268" width="9.08984375" style="1" bestFit="1" customWidth="1"/>
    <col min="269" max="269" width="40.54296875" style="1" customWidth="1"/>
    <col min="270" max="276" width="12.90625" style="1" customWidth="1"/>
    <col min="277" max="277" width="13.08984375" style="1" customWidth="1"/>
    <col min="278" max="278" width="48.08984375" style="1" customWidth="1"/>
    <col min="279" max="279" width="4.08984375" style="1" customWidth="1"/>
    <col min="280" max="280" width="2.453125" style="1" customWidth="1"/>
    <col min="281" max="281" width="4.54296875" style="1" bestFit="1" customWidth="1"/>
    <col min="282" max="282" width="8.08984375" style="1" bestFit="1" customWidth="1"/>
    <col min="283" max="283" width="5.453125" style="1" bestFit="1" customWidth="1"/>
    <col min="284" max="284" width="4.90625" style="1" bestFit="1" customWidth="1"/>
    <col min="285" max="285" width="2.453125" style="1" customWidth="1"/>
    <col min="286" max="286" width="4.54296875" style="1" customWidth="1"/>
    <col min="287" max="519" width="2.453125" style="1" customWidth="1"/>
    <col min="520" max="520" width="3.08984375" style="1" customWidth="1"/>
    <col min="521" max="521" width="3.453125" style="1" customWidth="1"/>
    <col min="522" max="522" width="45.54296875" style="1" customWidth="1"/>
    <col min="523" max="523" width="8.08984375" style="1" customWidth="1"/>
    <col min="524" max="524" width="9.08984375" style="1" bestFit="1" customWidth="1"/>
    <col min="525" max="525" width="40.54296875" style="1" customWidth="1"/>
    <col min="526" max="532" width="12.90625" style="1" customWidth="1"/>
    <col min="533" max="533" width="13.08984375" style="1" customWidth="1"/>
    <col min="534" max="534" width="48.08984375" style="1" customWidth="1"/>
    <col min="535" max="535" width="4.08984375" style="1" customWidth="1"/>
    <col min="536" max="536" width="2.453125" style="1" customWidth="1"/>
    <col min="537" max="537" width="4.54296875" style="1" bestFit="1" customWidth="1"/>
    <col min="538" max="538" width="8.08984375" style="1" bestFit="1" customWidth="1"/>
    <col min="539" max="539" width="5.453125" style="1" bestFit="1" customWidth="1"/>
    <col min="540" max="540" width="4.90625" style="1" bestFit="1" customWidth="1"/>
    <col min="541" max="541" width="2.453125" style="1" customWidth="1"/>
    <col min="542" max="542" width="4.54296875" style="1" customWidth="1"/>
    <col min="543" max="775" width="2.453125" style="1" customWidth="1"/>
    <col min="776" max="776" width="3.08984375" style="1" customWidth="1"/>
    <col min="777" max="777" width="3.453125" style="1" customWidth="1"/>
    <col min="778" max="778" width="45.54296875" style="1" customWidth="1"/>
    <col min="779" max="779" width="8.08984375" style="1" customWidth="1"/>
    <col min="780" max="780" width="9.08984375" style="1" bestFit="1" customWidth="1"/>
    <col min="781" max="781" width="40.54296875" style="1" customWidth="1"/>
    <col min="782" max="788" width="12.90625" style="1" customWidth="1"/>
    <col min="789" max="789" width="13.08984375" style="1" customWidth="1"/>
    <col min="790" max="790" width="48.08984375" style="1" customWidth="1"/>
    <col min="791" max="791" width="4.08984375" style="1" customWidth="1"/>
    <col min="792" max="792" width="2.453125" style="1" customWidth="1"/>
    <col min="793" max="793" width="4.54296875" style="1" bestFit="1" customWidth="1"/>
    <col min="794" max="794" width="8.08984375" style="1" bestFit="1" customWidth="1"/>
    <col min="795" max="795" width="5.453125" style="1" bestFit="1" customWidth="1"/>
    <col min="796" max="796" width="4.90625" style="1" bestFit="1" customWidth="1"/>
    <col min="797" max="797" width="2.453125" style="1" customWidth="1"/>
    <col min="798" max="798" width="4.54296875" style="1" customWidth="1"/>
    <col min="799" max="1031" width="2.453125" style="1" customWidth="1"/>
    <col min="1032" max="1032" width="3.08984375" style="1" customWidth="1"/>
    <col min="1033" max="1033" width="3.453125" style="1" customWidth="1"/>
    <col min="1034" max="1034" width="45.54296875" style="1" customWidth="1"/>
    <col min="1035" max="1035" width="8.08984375" style="1" customWidth="1"/>
    <col min="1036" max="1036" width="9.08984375" style="1" bestFit="1" customWidth="1"/>
    <col min="1037" max="1037" width="40.54296875" style="1" customWidth="1"/>
    <col min="1038" max="1044" width="12.90625" style="1" customWidth="1"/>
    <col min="1045" max="1045" width="13.08984375" style="1" customWidth="1"/>
    <col min="1046" max="1046" width="48.08984375" style="1" customWidth="1"/>
    <col min="1047" max="1047" width="4.08984375" style="1" customWidth="1"/>
    <col min="1048" max="1048" width="2.453125" style="1" customWidth="1"/>
    <col min="1049" max="1049" width="4.54296875" style="1" bestFit="1" customWidth="1"/>
    <col min="1050" max="1050" width="8.08984375" style="1" bestFit="1" customWidth="1"/>
    <col min="1051" max="1051" width="5.453125" style="1" bestFit="1" customWidth="1"/>
    <col min="1052" max="1052" width="4.90625" style="1" bestFit="1" customWidth="1"/>
    <col min="1053" max="1053" width="2.453125" style="1" customWidth="1"/>
    <col min="1054" max="1054" width="4.54296875" style="1" customWidth="1"/>
    <col min="1055" max="1287" width="2.453125" style="1" customWidth="1"/>
    <col min="1288" max="1288" width="3.08984375" style="1" customWidth="1"/>
    <col min="1289" max="1289" width="3.453125" style="1" customWidth="1"/>
    <col min="1290" max="1290" width="45.54296875" style="1" customWidth="1"/>
    <col min="1291" max="1291" width="8.08984375" style="1" customWidth="1"/>
    <col min="1292" max="1292" width="9.08984375" style="1" bestFit="1" customWidth="1"/>
    <col min="1293" max="1293" width="40.54296875" style="1" customWidth="1"/>
    <col min="1294" max="1300" width="12.90625" style="1" customWidth="1"/>
    <col min="1301" max="1301" width="13.08984375" style="1" customWidth="1"/>
    <col min="1302" max="1302" width="48.08984375" style="1" customWidth="1"/>
    <col min="1303" max="1303" width="4.08984375" style="1" customWidth="1"/>
    <col min="1304" max="1304" width="2.453125" style="1" customWidth="1"/>
    <col min="1305" max="1305" width="4.54296875" style="1" bestFit="1" customWidth="1"/>
    <col min="1306" max="1306" width="8.08984375" style="1" bestFit="1" customWidth="1"/>
    <col min="1307" max="1307" width="5.453125" style="1" bestFit="1" customWidth="1"/>
    <col min="1308" max="1308" width="4.90625" style="1" bestFit="1" customWidth="1"/>
    <col min="1309" max="1309" width="2.453125" style="1" customWidth="1"/>
    <col min="1310" max="1310" width="4.54296875" style="1" customWidth="1"/>
    <col min="1311" max="1543" width="2.453125" style="1" customWidth="1"/>
    <col min="1544" max="1544" width="3.08984375" style="1" customWidth="1"/>
    <col min="1545" max="1545" width="3.453125" style="1" customWidth="1"/>
    <col min="1546" max="1546" width="45.54296875" style="1" customWidth="1"/>
    <col min="1547" max="1547" width="8.08984375" style="1" customWidth="1"/>
    <col min="1548" max="1548" width="9.08984375" style="1" bestFit="1" customWidth="1"/>
    <col min="1549" max="1549" width="40.54296875" style="1" customWidth="1"/>
    <col min="1550" max="1556" width="12.90625" style="1" customWidth="1"/>
    <col min="1557" max="1557" width="13.08984375" style="1" customWidth="1"/>
    <col min="1558" max="1558" width="48.08984375" style="1" customWidth="1"/>
    <col min="1559" max="1559" width="4.08984375" style="1" customWidth="1"/>
    <col min="1560" max="1560" width="2.453125" style="1" customWidth="1"/>
    <col min="1561" max="1561" width="4.54296875" style="1" bestFit="1" customWidth="1"/>
    <col min="1562" max="1562" width="8.08984375" style="1" bestFit="1" customWidth="1"/>
    <col min="1563" max="1563" width="5.453125" style="1" bestFit="1" customWidth="1"/>
    <col min="1564" max="1564" width="4.90625" style="1" bestFit="1" customWidth="1"/>
    <col min="1565" max="1565" width="2.453125" style="1" customWidth="1"/>
    <col min="1566" max="1566" width="4.54296875" style="1" customWidth="1"/>
    <col min="1567" max="1799" width="2.453125" style="1" customWidth="1"/>
    <col min="1800" max="1800" width="3.08984375" style="1" customWidth="1"/>
    <col min="1801" max="1801" width="3.453125" style="1" customWidth="1"/>
    <col min="1802" max="1802" width="45.54296875" style="1" customWidth="1"/>
    <col min="1803" max="1803" width="8.08984375" style="1" customWidth="1"/>
    <col min="1804" max="1804" width="9.08984375" style="1" bestFit="1" customWidth="1"/>
    <col min="1805" max="1805" width="40.54296875" style="1" customWidth="1"/>
    <col min="1806" max="1812" width="12.90625" style="1" customWidth="1"/>
    <col min="1813" max="1813" width="13.08984375" style="1" customWidth="1"/>
    <col min="1814" max="1814" width="48.08984375" style="1" customWidth="1"/>
    <col min="1815" max="1815" width="4.08984375" style="1" customWidth="1"/>
    <col min="1816" max="1816" width="2.453125" style="1" customWidth="1"/>
    <col min="1817" max="1817" width="4.54296875" style="1" bestFit="1" customWidth="1"/>
    <col min="1818" max="1818" width="8.08984375" style="1" bestFit="1" customWidth="1"/>
    <col min="1819" max="1819" width="5.453125" style="1" bestFit="1" customWidth="1"/>
    <col min="1820" max="1820" width="4.90625" style="1" bestFit="1" customWidth="1"/>
    <col min="1821" max="1821" width="2.453125" style="1" customWidth="1"/>
    <col min="1822" max="1822" width="4.54296875" style="1" customWidth="1"/>
    <col min="1823" max="2055" width="2.453125" style="1" customWidth="1"/>
    <col min="2056" max="2056" width="3.08984375" style="1" customWidth="1"/>
    <col min="2057" max="2057" width="3.453125" style="1" customWidth="1"/>
    <col min="2058" max="2058" width="45.54296875" style="1" customWidth="1"/>
    <col min="2059" max="2059" width="8.08984375" style="1" customWidth="1"/>
    <col min="2060" max="2060" width="9.08984375" style="1" bestFit="1" customWidth="1"/>
    <col min="2061" max="2061" width="40.54296875" style="1" customWidth="1"/>
    <col min="2062" max="2068" width="12.90625" style="1" customWidth="1"/>
    <col min="2069" max="2069" width="13.08984375" style="1" customWidth="1"/>
    <col min="2070" max="2070" width="48.08984375" style="1" customWidth="1"/>
    <col min="2071" max="2071" width="4.08984375" style="1" customWidth="1"/>
    <col min="2072" max="2072" width="2.453125" style="1" customWidth="1"/>
    <col min="2073" max="2073" width="4.54296875" style="1" bestFit="1" customWidth="1"/>
    <col min="2074" max="2074" width="8.08984375" style="1" bestFit="1" customWidth="1"/>
    <col min="2075" max="2075" width="5.453125" style="1" bestFit="1" customWidth="1"/>
    <col min="2076" max="2076" width="4.90625" style="1" bestFit="1" customWidth="1"/>
    <col min="2077" max="2077" width="2.453125" style="1" customWidth="1"/>
    <col min="2078" max="2078" width="4.54296875" style="1" customWidth="1"/>
    <col min="2079" max="2311" width="2.453125" style="1" customWidth="1"/>
    <col min="2312" max="2312" width="3.08984375" style="1" customWidth="1"/>
    <col min="2313" max="2313" width="3.453125" style="1" customWidth="1"/>
    <col min="2314" max="2314" width="45.54296875" style="1" customWidth="1"/>
    <col min="2315" max="2315" width="8.08984375" style="1" customWidth="1"/>
    <col min="2316" max="2316" width="9.08984375" style="1" bestFit="1" customWidth="1"/>
    <col min="2317" max="2317" width="40.54296875" style="1" customWidth="1"/>
    <col min="2318" max="2324" width="12.90625" style="1" customWidth="1"/>
    <col min="2325" max="2325" width="13.08984375" style="1" customWidth="1"/>
    <col min="2326" max="2326" width="48.08984375" style="1" customWidth="1"/>
    <col min="2327" max="2327" width="4.08984375" style="1" customWidth="1"/>
    <col min="2328" max="2328" width="2.453125" style="1" customWidth="1"/>
    <col min="2329" max="2329" width="4.54296875" style="1" bestFit="1" customWidth="1"/>
    <col min="2330" max="2330" width="8.08984375" style="1" bestFit="1" customWidth="1"/>
    <col min="2331" max="2331" width="5.453125" style="1" bestFit="1" customWidth="1"/>
    <col min="2332" max="2332" width="4.90625" style="1" bestFit="1" customWidth="1"/>
    <col min="2333" max="2333" width="2.453125" style="1" customWidth="1"/>
    <col min="2334" max="2334" width="4.54296875" style="1" customWidth="1"/>
    <col min="2335" max="2567" width="2.453125" style="1" customWidth="1"/>
    <col min="2568" max="2568" width="3.08984375" style="1" customWidth="1"/>
    <col min="2569" max="2569" width="3.453125" style="1" customWidth="1"/>
    <col min="2570" max="2570" width="45.54296875" style="1" customWidth="1"/>
    <col min="2571" max="2571" width="8.08984375" style="1" customWidth="1"/>
    <col min="2572" max="2572" width="9.08984375" style="1" bestFit="1" customWidth="1"/>
    <col min="2573" max="2573" width="40.54296875" style="1" customWidth="1"/>
    <col min="2574" max="2580" width="12.90625" style="1" customWidth="1"/>
    <col min="2581" max="2581" width="13.08984375" style="1" customWidth="1"/>
    <col min="2582" max="2582" width="48.08984375" style="1" customWidth="1"/>
    <col min="2583" max="2583" width="4.08984375" style="1" customWidth="1"/>
    <col min="2584" max="2584" width="2.453125" style="1" customWidth="1"/>
    <col min="2585" max="2585" width="4.54296875" style="1" bestFit="1" customWidth="1"/>
    <col min="2586" max="2586" width="8.08984375" style="1" bestFit="1" customWidth="1"/>
    <col min="2587" max="2587" width="5.453125" style="1" bestFit="1" customWidth="1"/>
    <col min="2588" max="2588" width="4.90625" style="1" bestFit="1" customWidth="1"/>
    <col min="2589" max="2589" width="2.453125" style="1" customWidth="1"/>
    <col min="2590" max="2590" width="4.54296875" style="1" customWidth="1"/>
    <col min="2591" max="2823" width="2.453125" style="1" customWidth="1"/>
    <col min="2824" max="2824" width="3.08984375" style="1" customWidth="1"/>
    <col min="2825" max="2825" width="3.453125" style="1" customWidth="1"/>
    <col min="2826" max="2826" width="45.54296875" style="1" customWidth="1"/>
    <col min="2827" max="2827" width="8.08984375" style="1" customWidth="1"/>
    <col min="2828" max="2828" width="9.08984375" style="1" bestFit="1" customWidth="1"/>
    <col min="2829" max="2829" width="40.54296875" style="1" customWidth="1"/>
    <col min="2830" max="2836" width="12.90625" style="1" customWidth="1"/>
    <col min="2837" max="2837" width="13.08984375" style="1" customWidth="1"/>
    <col min="2838" max="2838" width="48.08984375" style="1" customWidth="1"/>
    <col min="2839" max="2839" width="4.08984375" style="1" customWidth="1"/>
    <col min="2840" max="2840" width="2.453125" style="1" customWidth="1"/>
    <col min="2841" max="2841" width="4.54296875" style="1" bestFit="1" customWidth="1"/>
    <col min="2842" max="2842" width="8.08984375" style="1" bestFit="1" customWidth="1"/>
    <col min="2843" max="2843" width="5.453125" style="1" bestFit="1" customWidth="1"/>
    <col min="2844" max="2844" width="4.90625" style="1" bestFit="1" customWidth="1"/>
    <col min="2845" max="2845" width="2.453125" style="1" customWidth="1"/>
    <col min="2846" max="2846" width="4.54296875" style="1" customWidth="1"/>
    <col min="2847" max="3079" width="2.453125" style="1" customWidth="1"/>
    <col min="3080" max="3080" width="3.08984375" style="1" customWidth="1"/>
    <col min="3081" max="3081" width="3.453125" style="1" customWidth="1"/>
    <col min="3082" max="3082" width="45.54296875" style="1" customWidth="1"/>
    <col min="3083" max="3083" width="8.08984375" style="1" customWidth="1"/>
    <col min="3084" max="3084" width="9.08984375" style="1" bestFit="1" customWidth="1"/>
    <col min="3085" max="3085" width="40.54296875" style="1" customWidth="1"/>
    <col min="3086" max="3092" width="12.90625" style="1" customWidth="1"/>
    <col min="3093" max="3093" width="13.08984375" style="1" customWidth="1"/>
    <col min="3094" max="3094" width="48.08984375" style="1" customWidth="1"/>
    <col min="3095" max="3095" width="4.08984375" style="1" customWidth="1"/>
    <col min="3096" max="3096" width="2.453125" style="1" customWidth="1"/>
    <col min="3097" max="3097" width="4.54296875" style="1" bestFit="1" customWidth="1"/>
    <col min="3098" max="3098" width="8.08984375" style="1" bestFit="1" customWidth="1"/>
    <col min="3099" max="3099" width="5.453125" style="1" bestFit="1" customWidth="1"/>
    <col min="3100" max="3100" width="4.90625" style="1" bestFit="1" customWidth="1"/>
    <col min="3101" max="3101" width="2.453125" style="1" customWidth="1"/>
    <col min="3102" max="3102" width="4.54296875" style="1" customWidth="1"/>
    <col min="3103" max="3335" width="2.453125" style="1" customWidth="1"/>
    <col min="3336" max="3336" width="3.08984375" style="1" customWidth="1"/>
    <col min="3337" max="3337" width="3.453125" style="1" customWidth="1"/>
    <col min="3338" max="3338" width="45.54296875" style="1" customWidth="1"/>
    <col min="3339" max="3339" width="8.08984375" style="1" customWidth="1"/>
    <col min="3340" max="3340" width="9.08984375" style="1" bestFit="1" customWidth="1"/>
    <col min="3341" max="3341" width="40.54296875" style="1" customWidth="1"/>
    <col min="3342" max="3348" width="12.90625" style="1" customWidth="1"/>
    <col min="3349" max="3349" width="13.08984375" style="1" customWidth="1"/>
    <col min="3350" max="3350" width="48.08984375" style="1" customWidth="1"/>
    <col min="3351" max="3351" width="4.08984375" style="1" customWidth="1"/>
    <col min="3352" max="3352" width="2.453125" style="1" customWidth="1"/>
    <col min="3353" max="3353" width="4.54296875" style="1" bestFit="1" customWidth="1"/>
    <col min="3354" max="3354" width="8.08984375" style="1" bestFit="1" customWidth="1"/>
    <col min="3355" max="3355" width="5.453125" style="1" bestFit="1" customWidth="1"/>
    <col min="3356" max="3356" width="4.90625" style="1" bestFit="1" customWidth="1"/>
    <col min="3357" max="3357" width="2.453125" style="1" customWidth="1"/>
    <col min="3358" max="3358" width="4.54296875" style="1" customWidth="1"/>
    <col min="3359" max="3591" width="2.453125" style="1" customWidth="1"/>
    <col min="3592" max="3592" width="3.08984375" style="1" customWidth="1"/>
    <col min="3593" max="3593" width="3.453125" style="1" customWidth="1"/>
    <col min="3594" max="3594" width="45.54296875" style="1" customWidth="1"/>
    <col min="3595" max="3595" width="8.08984375" style="1" customWidth="1"/>
    <col min="3596" max="3596" width="9.08984375" style="1" bestFit="1" customWidth="1"/>
    <col min="3597" max="3597" width="40.54296875" style="1" customWidth="1"/>
    <col min="3598" max="3604" width="12.90625" style="1" customWidth="1"/>
    <col min="3605" max="3605" width="13.08984375" style="1" customWidth="1"/>
    <col min="3606" max="3606" width="48.08984375" style="1" customWidth="1"/>
    <col min="3607" max="3607" width="4.08984375" style="1" customWidth="1"/>
    <col min="3608" max="3608" width="2.453125" style="1" customWidth="1"/>
    <col min="3609" max="3609" width="4.54296875" style="1" bestFit="1" customWidth="1"/>
    <col min="3610" max="3610" width="8.08984375" style="1" bestFit="1" customWidth="1"/>
    <col min="3611" max="3611" width="5.453125" style="1" bestFit="1" customWidth="1"/>
    <col min="3612" max="3612" width="4.90625" style="1" bestFit="1" customWidth="1"/>
    <col min="3613" max="3613" width="2.453125" style="1" customWidth="1"/>
    <col min="3614" max="3614" width="4.54296875" style="1" customWidth="1"/>
    <col min="3615" max="3847" width="2.453125" style="1" customWidth="1"/>
    <col min="3848" max="3848" width="3.08984375" style="1" customWidth="1"/>
    <col min="3849" max="3849" width="3.453125" style="1" customWidth="1"/>
    <col min="3850" max="3850" width="45.54296875" style="1" customWidth="1"/>
    <col min="3851" max="3851" width="8.08984375" style="1" customWidth="1"/>
    <col min="3852" max="3852" width="9.08984375" style="1" bestFit="1" customWidth="1"/>
    <col min="3853" max="3853" width="40.54296875" style="1" customWidth="1"/>
    <col min="3854" max="3860" width="12.90625" style="1" customWidth="1"/>
    <col min="3861" max="3861" width="13.08984375" style="1" customWidth="1"/>
    <col min="3862" max="3862" width="48.08984375" style="1" customWidth="1"/>
    <col min="3863" max="3863" width="4.08984375" style="1" customWidth="1"/>
    <col min="3864" max="3864" width="2.453125" style="1" customWidth="1"/>
    <col min="3865" max="3865" width="4.54296875" style="1" bestFit="1" customWidth="1"/>
    <col min="3866" max="3866" width="8.08984375" style="1" bestFit="1" customWidth="1"/>
    <col min="3867" max="3867" width="5.453125" style="1" bestFit="1" customWidth="1"/>
    <col min="3868" max="3868" width="4.90625" style="1" bestFit="1" customWidth="1"/>
    <col min="3869" max="3869" width="2.453125" style="1" customWidth="1"/>
    <col min="3870" max="3870" width="4.54296875" style="1" customWidth="1"/>
    <col min="3871" max="4103" width="2.453125" style="1" customWidth="1"/>
    <col min="4104" max="4104" width="3.08984375" style="1" customWidth="1"/>
    <col min="4105" max="4105" width="3.453125" style="1" customWidth="1"/>
    <col min="4106" max="4106" width="45.54296875" style="1" customWidth="1"/>
    <col min="4107" max="4107" width="8.08984375" style="1" customWidth="1"/>
    <col min="4108" max="4108" width="9.08984375" style="1" bestFit="1" customWidth="1"/>
    <col min="4109" max="4109" width="40.54296875" style="1" customWidth="1"/>
    <col min="4110" max="4116" width="12.90625" style="1" customWidth="1"/>
    <col min="4117" max="4117" width="13.08984375" style="1" customWidth="1"/>
    <col min="4118" max="4118" width="48.08984375" style="1" customWidth="1"/>
    <col min="4119" max="4119" width="4.08984375" style="1" customWidth="1"/>
    <col min="4120" max="4120" width="2.453125" style="1" customWidth="1"/>
    <col min="4121" max="4121" width="4.54296875" style="1" bestFit="1" customWidth="1"/>
    <col min="4122" max="4122" width="8.08984375" style="1" bestFit="1" customWidth="1"/>
    <col min="4123" max="4123" width="5.453125" style="1" bestFit="1" customWidth="1"/>
    <col min="4124" max="4124" width="4.90625" style="1" bestFit="1" customWidth="1"/>
    <col min="4125" max="4125" width="2.453125" style="1" customWidth="1"/>
    <col min="4126" max="4126" width="4.54296875" style="1" customWidth="1"/>
    <col min="4127" max="4359" width="2.453125" style="1" customWidth="1"/>
    <col min="4360" max="4360" width="3.08984375" style="1" customWidth="1"/>
    <col min="4361" max="4361" width="3.453125" style="1" customWidth="1"/>
    <col min="4362" max="4362" width="45.54296875" style="1" customWidth="1"/>
    <col min="4363" max="4363" width="8.08984375" style="1" customWidth="1"/>
    <col min="4364" max="4364" width="9.08984375" style="1" bestFit="1" customWidth="1"/>
    <col min="4365" max="4365" width="40.54296875" style="1" customWidth="1"/>
    <col min="4366" max="4372" width="12.90625" style="1" customWidth="1"/>
    <col min="4373" max="4373" width="13.08984375" style="1" customWidth="1"/>
    <col min="4374" max="4374" width="48.08984375" style="1" customWidth="1"/>
    <col min="4375" max="4375" width="4.08984375" style="1" customWidth="1"/>
    <col min="4376" max="4376" width="2.453125" style="1" customWidth="1"/>
    <col min="4377" max="4377" width="4.54296875" style="1" bestFit="1" customWidth="1"/>
    <col min="4378" max="4378" width="8.08984375" style="1" bestFit="1" customWidth="1"/>
    <col min="4379" max="4379" width="5.453125" style="1" bestFit="1" customWidth="1"/>
    <col min="4380" max="4380" width="4.90625" style="1" bestFit="1" customWidth="1"/>
    <col min="4381" max="4381" width="2.453125" style="1" customWidth="1"/>
    <col min="4382" max="4382" width="4.54296875" style="1" customWidth="1"/>
    <col min="4383" max="4615" width="2.453125" style="1" customWidth="1"/>
    <col min="4616" max="4616" width="3.08984375" style="1" customWidth="1"/>
    <col min="4617" max="4617" width="3.453125" style="1" customWidth="1"/>
    <col min="4618" max="4618" width="45.54296875" style="1" customWidth="1"/>
    <col min="4619" max="4619" width="8.08984375" style="1" customWidth="1"/>
    <col min="4620" max="4620" width="9.08984375" style="1" bestFit="1" customWidth="1"/>
    <col min="4621" max="4621" width="40.54296875" style="1" customWidth="1"/>
    <col min="4622" max="4628" width="12.90625" style="1" customWidth="1"/>
    <col min="4629" max="4629" width="13.08984375" style="1" customWidth="1"/>
    <col min="4630" max="4630" width="48.08984375" style="1" customWidth="1"/>
    <col min="4631" max="4631" width="4.08984375" style="1" customWidth="1"/>
    <col min="4632" max="4632" width="2.453125" style="1" customWidth="1"/>
    <col min="4633" max="4633" width="4.54296875" style="1" bestFit="1" customWidth="1"/>
    <col min="4634" max="4634" width="8.08984375" style="1" bestFit="1" customWidth="1"/>
    <col min="4635" max="4635" width="5.453125" style="1" bestFit="1" customWidth="1"/>
    <col min="4636" max="4636" width="4.90625" style="1" bestFit="1" customWidth="1"/>
    <col min="4637" max="4637" width="2.453125" style="1" customWidth="1"/>
    <col min="4638" max="4638" width="4.54296875" style="1" customWidth="1"/>
    <col min="4639" max="4871" width="2.453125" style="1" customWidth="1"/>
    <col min="4872" max="4872" width="3.08984375" style="1" customWidth="1"/>
    <col min="4873" max="4873" width="3.453125" style="1" customWidth="1"/>
    <col min="4874" max="4874" width="45.54296875" style="1" customWidth="1"/>
    <col min="4875" max="4875" width="8.08984375" style="1" customWidth="1"/>
    <col min="4876" max="4876" width="9.08984375" style="1" bestFit="1" customWidth="1"/>
    <col min="4877" max="4877" width="40.54296875" style="1" customWidth="1"/>
    <col min="4878" max="4884" width="12.90625" style="1" customWidth="1"/>
    <col min="4885" max="4885" width="13.08984375" style="1" customWidth="1"/>
    <col min="4886" max="4886" width="48.08984375" style="1" customWidth="1"/>
    <col min="4887" max="4887" width="4.08984375" style="1" customWidth="1"/>
    <col min="4888" max="4888" width="2.453125" style="1" customWidth="1"/>
    <col min="4889" max="4889" width="4.54296875" style="1" bestFit="1" customWidth="1"/>
    <col min="4890" max="4890" width="8.08984375" style="1" bestFit="1" customWidth="1"/>
    <col min="4891" max="4891" width="5.453125" style="1" bestFit="1" customWidth="1"/>
    <col min="4892" max="4892" width="4.90625" style="1" bestFit="1" customWidth="1"/>
    <col min="4893" max="4893" width="2.453125" style="1" customWidth="1"/>
    <col min="4894" max="4894" width="4.54296875" style="1" customWidth="1"/>
    <col min="4895" max="5127" width="2.453125" style="1" customWidth="1"/>
    <col min="5128" max="5128" width="3.08984375" style="1" customWidth="1"/>
    <col min="5129" max="5129" width="3.453125" style="1" customWidth="1"/>
    <col min="5130" max="5130" width="45.54296875" style="1" customWidth="1"/>
    <col min="5131" max="5131" width="8.08984375" style="1" customWidth="1"/>
    <col min="5132" max="5132" width="9.08984375" style="1" bestFit="1" customWidth="1"/>
    <col min="5133" max="5133" width="40.54296875" style="1" customWidth="1"/>
    <col min="5134" max="5140" width="12.90625" style="1" customWidth="1"/>
    <col min="5141" max="5141" width="13.08984375" style="1" customWidth="1"/>
    <col min="5142" max="5142" width="48.08984375" style="1" customWidth="1"/>
    <col min="5143" max="5143" width="4.08984375" style="1" customWidth="1"/>
    <col min="5144" max="5144" width="2.453125" style="1" customWidth="1"/>
    <col min="5145" max="5145" width="4.54296875" style="1" bestFit="1" customWidth="1"/>
    <col min="5146" max="5146" width="8.08984375" style="1" bestFit="1" customWidth="1"/>
    <col min="5147" max="5147" width="5.453125" style="1" bestFit="1" customWidth="1"/>
    <col min="5148" max="5148" width="4.90625" style="1" bestFit="1" customWidth="1"/>
    <col min="5149" max="5149" width="2.453125" style="1" customWidth="1"/>
    <col min="5150" max="5150" width="4.54296875" style="1" customWidth="1"/>
    <col min="5151" max="5383" width="2.453125" style="1" customWidth="1"/>
    <col min="5384" max="5384" width="3.08984375" style="1" customWidth="1"/>
    <col min="5385" max="5385" width="3.453125" style="1" customWidth="1"/>
    <col min="5386" max="5386" width="45.54296875" style="1" customWidth="1"/>
    <col min="5387" max="5387" width="8.08984375" style="1" customWidth="1"/>
    <col min="5388" max="5388" width="9.08984375" style="1" bestFit="1" customWidth="1"/>
    <col min="5389" max="5389" width="40.54296875" style="1" customWidth="1"/>
    <col min="5390" max="5396" width="12.90625" style="1" customWidth="1"/>
    <col min="5397" max="5397" width="13.08984375" style="1" customWidth="1"/>
    <col min="5398" max="5398" width="48.08984375" style="1" customWidth="1"/>
    <col min="5399" max="5399" width="4.08984375" style="1" customWidth="1"/>
    <col min="5400" max="5400" width="2.453125" style="1" customWidth="1"/>
    <col min="5401" max="5401" width="4.54296875" style="1" bestFit="1" customWidth="1"/>
    <col min="5402" max="5402" width="8.08984375" style="1" bestFit="1" customWidth="1"/>
    <col min="5403" max="5403" width="5.453125" style="1" bestFit="1" customWidth="1"/>
    <col min="5404" max="5404" width="4.90625" style="1" bestFit="1" customWidth="1"/>
    <col min="5405" max="5405" width="2.453125" style="1" customWidth="1"/>
    <col min="5406" max="5406" width="4.54296875" style="1" customWidth="1"/>
    <col min="5407" max="5639" width="2.453125" style="1" customWidth="1"/>
    <col min="5640" max="5640" width="3.08984375" style="1" customWidth="1"/>
    <col min="5641" max="5641" width="3.453125" style="1" customWidth="1"/>
    <col min="5642" max="5642" width="45.54296875" style="1" customWidth="1"/>
    <col min="5643" max="5643" width="8.08984375" style="1" customWidth="1"/>
    <col min="5644" max="5644" width="9.08984375" style="1" bestFit="1" customWidth="1"/>
    <col min="5645" max="5645" width="40.54296875" style="1" customWidth="1"/>
    <col min="5646" max="5652" width="12.90625" style="1" customWidth="1"/>
    <col min="5653" max="5653" width="13.08984375" style="1" customWidth="1"/>
    <col min="5654" max="5654" width="48.08984375" style="1" customWidth="1"/>
    <col min="5655" max="5655" width="4.08984375" style="1" customWidth="1"/>
    <col min="5656" max="5656" width="2.453125" style="1" customWidth="1"/>
    <col min="5657" max="5657" width="4.54296875" style="1" bestFit="1" customWidth="1"/>
    <col min="5658" max="5658" width="8.08984375" style="1" bestFit="1" customWidth="1"/>
    <col min="5659" max="5659" width="5.453125" style="1" bestFit="1" customWidth="1"/>
    <col min="5660" max="5660" width="4.90625" style="1" bestFit="1" customWidth="1"/>
    <col min="5661" max="5661" width="2.453125" style="1" customWidth="1"/>
    <col min="5662" max="5662" width="4.54296875" style="1" customWidth="1"/>
    <col min="5663" max="5895" width="2.453125" style="1" customWidth="1"/>
    <col min="5896" max="5896" width="3.08984375" style="1" customWidth="1"/>
    <col min="5897" max="5897" width="3.453125" style="1" customWidth="1"/>
    <col min="5898" max="5898" width="45.54296875" style="1" customWidth="1"/>
    <col min="5899" max="5899" width="8.08984375" style="1" customWidth="1"/>
    <col min="5900" max="5900" width="9.08984375" style="1" bestFit="1" customWidth="1"/>
    <col min="5901" max="5901" width="40.54296875" style="1" customWidth="1"/>
    <col min="5902" max="5908" width="12.90625" style="1" customWidth="1"/>
    <col min="5909" max="5909" width="13.08984375" style="1" customWidth="1"/>
    <col min="5910" max="5910" width="48.08984375" style="1" customWidth="1"/>
    <col min="5911" max="5911" width="4.08984375" style="1" customWidth="1"/>
    <col min="5912" max="5912" width="2.453125" style="1" customWidth="1"/>
    <col min="5913" max="5913" width="4.54296875" style="1" bestFit="1" customWidth="1"/>
    <col min="5914" max="5914" width="8.08984375" style="1" bestFit="1" customWidth="1"/>
    <col min="5915" max="5915" width="5.453125" style="1" bestFit="1" customWidth="1"/>
    <col min="5916" max="5916" width="4.90625" style="1" bestFit="1" customWidth="1"/>
    <col min="5917" max="5917" width="2.453125" style="1" customWidth="1"/>
    <col min="5918" max="5918" width="4.54296875" style="1" customWidth="1"/>
    <col min="5919" max="6151" width="2.453125" style="1" customWidth="1"/>
    <col min="6152" max="6152" width="3.08984375" style="1" customWidth="1"/>
    <col min="6153" max="6153" width="3.453125" style="1" customWidth="1"/>
    <col min="6154" max="6154" width="45.54296875" style="1" customWidth="1"/>
    <col min="6155" max="6155" width="8.08984375" style="1" customWidth="1"/>
    <col min="6156" max="6156" width="9.08984375" style="1" bestFit="1" customWidth="1"/>
    <col min="6157" max="6157" width="40.54296875" style="1" customWidth="1"/>
    <col min="6158" max="6164" width="12.90625" style="1" customWidth="1"/>
    <col min="6165" max="6165" width="13.08984375" style="1" customWidth="1"/>
    <col min="6166" max="6166" width="48.08984375" style="1" customWidth="1"/>
    <col min="6167" max="6167" width="4.08984375" style="1" customWidth="1"/>
    <col min="6168" max="6168" width="2.453125" style="1" customWidth="1"/>
    <col min="6169" max="6169" width="4.54296875" style="1" bestFit="1" customWidth="1"/>
    <col min="6170" max="6170" width="8.08984375" style="1" bestFit="1" customWidth="1"/>
    <col min="6171" max="6171" width="5.453125" style="1" bestFit="1" customWidth="1"/>
    <col min="6172" max="6172" width="4.90625" style="1" bestFit="1" customWidth="1"/>
    <col min="6173" max="6173" width="2.453125" style="1" customWidth="1"/>
    <col min="6174" max="6174" width="4.54296875" style="1" customWidth="1"/>
    <col min="6175" max="6407" width="2.453125" style="1" customWidth="1"/>
    <col min="6408" max="6408" width="3.08984375" style="1" customWidth="1"/>
    <col min="6409" max="6409" width="3.453125" style="1" customWidth="1"/>
    <col min="6410" max="6410" width="45.54296875" style="1" customWidth="1"/>
    <col min="6411" max="6411" width="8.08984375" style="1" customWidth="1"/>
    <col min="6412" max="6412" width="9.08984375" style="1" bestFit="1" customWidth="1"/>
    <col min="6413" max="6413" width="40.54296875" style="1" customWidth="1"/>
    <col min="6414" max="6420" width="12.90625" style="1" customWidth="1"/>
    <col min="6421" max="6421" width="13.08984375" style="1" customWidth="1"/>
    <col min="6422" max="6422" width="48.08984375" style="1" customWidth="1"/>
    <col min="6423" max="6423" width="4.08984375" style="1" customWidth="1"/>
    <col min="6424" max="6424" width="2.453125" style="1" customWidth="1"/>
    <col min="6425" max="6425" width="4.54296875" style="1" bestFit="1" customWidth="1"/>
    <col min="6426" max="6426" width="8.08984375" style="1" bestFit="1" customWidth="1"/>
    <col min="6427" max="6427" width="5.453125" style="1" bestFit="1" customWidth="1"/>
    <col min="6428" max="6428" width="4.90625" style="1" bestFit="1" customWidth="1"/>
    <col min="6429" max="6429" width="2.453125" style="1" customWidth="1"/>
    <col min="6430" max="6430" width="4.54296875" style="1" customWidth="1"/>
    <col min="6431" max="6663" width="2.453125" style="1" customWidth="1"/>
    <col min="6664" max="6664" width="3.08984375" style="1" customWidth="1"/>
    <col min="6665" max="6665" width="3.453125" style="1" customWidth="1"/>
    <col min="6666" max="6666" width="45.54296875" style="1" customWidth="1"/>
    <col min="6667" max="6667" width="8.08984375" style="1" customWidth="1"/>
    <col min="6668" max="6668" width="9.08984375" style="1" bestFit="1" customWidth="1"/>
    <col min="6669" max="6669" width="40.54296875" style="1" customWidth="1"/>
    <col min="6670" max="6676" width="12.90625" style="1" customWidth="1"/>
    <col min="6677" max="6677" width="13.08984375" style="1" customWidth="1"/>
    <col min="6678" max="6678" width="48.08984375" style="1" customWidth="1"/>
    <col min="6679" max="6679" width="4.08984375" style="1" customWidth="1"/>
    <col min="6680" max="6680" width="2.453125" style="1" customWidth="1"/>
    <col min="6681" max="6681" width="4.54296875" style="1" bestFit="1" customWidth="1"/>
    <col min="6682" max="6682" width="8.08984375" style="1" bestFit="1" customWidth="1"/>
    <col min="6683" max="6683" width="5.453125" style="1" bestFit="1" customWidth="1"/>
    <col min="6684" max="6684" width="4.90625" style="1" bestFit="1" customWidth="1"/>
    <col min="6685" max="6685" width="2.453125" style="1" customWidth="1"/>
    <col min="6686" max="6686" width="4.54296875" style="1" customWidth="1"/>
    <col min="6687" max="6919" width="2.453125" style="1" customWidth="1"/>
    <col min="6920" max="6920" width="3.08984375" style="1" customWidth="1"/>
    <col min="6921" max="6921" width="3.453125" style="1" customWidth="1"/>
    <col min="6922" max="6922" width="45.54296875" style="1" customWidth="1"/>
    <col min="6923" max="6923" width="8.08984375" style="1" customWidth="1"/>
    <col min="6924" max="6924" width="9.08984375" style="1" bestFit="1" customWidth="1"/>
    <col min="6925" max="6925" width="40.54296875" style="1" customWidth="1"/>
    <col min="6926" max="6932" width="12.90625" style="1" customWidth="1"/>
    <col min="6933" max="6933" width="13.08984375" style="1" customWidth="1"/>
    <col min="6934" max="6934" width="48.08984375" style="1" customWidth="1"/>
    <col min="6935" max="6935" width="4.08984375" style="1" customWidth="1"/>
    <col min="6936" max="6936" width="2.453125" style="1" customWidth="1"/>
    <col min="6937" max="6937" width="4.54296875" style="1" bestFit="1" customWidth="1"/>
    <col min="6938" max="6938" width="8.08984375" style="1" bestFit="1" customWidth="1"/>
    <col min="6939" max="6939" width="5.453125" style="1" bestFit="1" customWidth="1"/>
    <col min="6940" max="6940" width="4.90625" style="1" bestFit="1" customWidth="1"/>
    <col min="6941" max="6941" width="2.453125" style="1" customWidth="1"/>
    <col min="6942" max="6942" width="4.54296875" style="1" customWidth="1"/>
    <col min="6943" max="7175" width="2.453125" style="1" customWidth="1"/>
    <col min="7176" max="7176" width="3.08984375" style="1" customWidth="1"/>
    <col min="7177" max="7177" width="3.453125" style="1" customWidth="1"/>
    <col min="7178" max="7178" width="45.54296875" style="1" customWidth="1"/>
    <col min="7179" max="7179" width="8.08984375" style="1" customWidth="1"/>
    <col min="7180" max="7180" width="9.08984375" style="1" bestFit="1" customWidth="1"/>
    <col min="7181" max="7181" width="40.54296875" style="1" customWidth="1"/>
    <col min="7182" max="7188" width="12.90625" style="1" customWidth="1"/>
    <col min="7189" max="7189" width="13.08984375" style="1" customWidth="1"/>
    <col min="7190" max="7190" width="48.08984375" style="1" customWidth="1"/>
    <col min="7191" max="7191" width="4.08984375" style="1" customWidth="1"/>
    <col min="7192" max="7192" width="2.453125" style="1" customWidth="1"/>
    <col min="7193" max="7193" width="4.54296875" style="1" bestFit="1" customWidth="1"/>
    <col min="7194" max="7194" width="8.08984375" style="1" bestFit="1" customWidth="1"/>
    <col min="7195" max="7195" width="5.453125" style="1" bestFit="1" customWidth="1"/>
    <col min="7196" max="7196" width="4.90625" style="1" bestFit="1" customWidth="1"/>
    <col min="7197" max="7197" width="2.453125" style="1" customWidth="1"/>
    <col min="7198" max="7198" width="4.54296875" style="1" customWidth="1"/>
    <col min="7199" max="7431" width="2.453125" style="1" customWidth="1"/>
    <col min="7432" max="7432" width="3.08984375" style="1" customWidth="1"/>
    <col min="7433" max="7433" width="3.453125" style="1" customWidth="1"/>
    <col min="7434" max="7434" width="45.54296875" style="1" customWidth="1"/>
    <col min="7435" max="7435" width="8.08984375" style="1" customWidth="1"/>
    <col min="7436" max="7436" width="9.08984375" style="1" bestFit="1" customWidth="1"/>
    <col min="7437" max="7437" width="40.54296875" style="1" customWidth="1"/>
    <col min="7438" max="7444" width="12.90625" style="1" customWidth="1"/>
    <col min="7445" max="7445" width="13.08984375" style="1" customWidth="1"/>
    <col min="7446" max="7446" width="48.08984375" style="1" customWidth="1"/>
    <col min="7447" max="7447" width="4.08984375" style="1" customWidth="1"/>
    <col min="7448" max="7448" width="2.453125" style="1" customWidth="1"/>
    <col min="7449" max="7449" width="4.54296875" style="1" bestFit="1" customWidth="1"/>
    <col min="7450" max="7450" width="8.08984375" style="1" bestFit="1" customWidth="1"/>
    <col min="7451" max="7451" width="5.453125" style="1" bestFit="1" customWidth="1"/>
    <col min="7452" max="7452" width="4.90625" style="1" bestFit="1" customWidth="1"/>
    <col min="7453" max="7453" width="2.453125" style="1" customWidth="1"/>
    <col min="7454" max="7454" width="4.54296875" style="1" customWidth="1"/>
    <col min="7455" max="7687" width="2.453125" style="1" customWidth="1"/>
    <col min="7688" max="7688" width="3.08984375" style="1" customWidth="1"/>
    <col min="7689" max="7689" width="3.453125" style="1" customWidth="1"/>
    <col min="7690" max="7690" width="45.54296875" style="1" customWidth="1"/>
    <col min="7691" max="7691" width="8.08984375" style="1" customWidth="1"/>
    <col min="7692" max="7692" width="9.08984375" style="1" bestFit="1" customWidth="1"/>
    <col min="7693" max="7693" width="40.54296875" style="1" customWidth="1"/>
    <col min="7694" max="7700" width="12.90625" style="1" customWidth="1"/>
    <col min="7701" max="7701" width="13.08984375" style="1" customWidth="1"/>
    <col min="7702" max="7702" width="48.08984375" style="1" customWidth="1"/>
    <col min="7703" max="7703" width="4.08984375" style="1" customWidth="1"/>
    <col min="7704" max="7704" width="2.453125" style="1" customWidth="1"/>
    <col min="7705" max="7705" width="4.54296875" style="1" bestFit="1" customWidth="1"/>
    <col min="7706" max="7706" width="8.08984375" style="1" bestFit="1" customWidth="1"/>
    <col min="7707" max="7707" width="5.453125" style="1" bestFit="1" customWidth="1"/>
    <col min="7708" max="7708" width="4.90625" style="1" bestFit="1" customWidth="1"/>
    <col min="7709" max="7709" width="2.453125" style="1" customWidth="1"/>
    <col min="7710" max="7710" width="4.54296875" style="1" customWidth="1"/>
    <col min="7711" max="7943" width="2.453125" style="1" customWidth="1"/>
    <col min="7944" max="7944" width="3.08984375" style="1" customWidth="1"/>
    <col min="7945" max="7945" width="3.453125" style="1" customWidth="1"/>
    <col min="7946" max="7946" width="45.54296875" style="1" customWidth="1"/>
    <col min="7947" max="7947" width="8.08984375" style="1" customWidth="1"/>
    <col min="7948" max="7948" width="9.08984375" style="1" bestFit="1" customWidth="1"/>
    <col min="7949" max="7949" width="40.54296875" style="1" customWidth="1"/>
    <col min="7950" max="7956" width="12.90625" style="1" customWidth="1"/>
    <col min="7957" max="7957" width="13.08984375" style="1" customWidth="1"/>
    <col min="7958" max="7958" width="48.08984375" style="1" customWidth="1"/>
    <col min="7959" max="7959" width="4.08984375" style="1" customWidth="1"/>
    <col min="7960" max="7960" width="2.453125" style="1" customWidth="1"/>
    <col min="7961" max="7961" width="4.54296875" style="1" bestFit="1" customWidth="1"/>
    <col min="7962" max="7962" width="8.08984375" style="1" bestFit="1" customWidth="1"/>
    <col min="7963" max="7963" width="5.453125" style="1" bestFit="1" customWidth="1"/>
    <col min="7964" max="7964" width="4.90625" style="1" bestFit="1" customWidth="1"/>
    <col min="7965" max="7965" width="2.453125" style="1" customWidth="1"/>
    <col min="7966" max="7966" width="4.54296875" style="1" customWidth="1"/>
    <col min="7967" max="8199" width="2.453125" style="1" customWidth="1"/>
    <col min="8200" max="8200" width="3.08984375" style="1" customWidth="1"/>
    <col min="8201" max="8201" width="3.453125" style="1" customWidth="1"/>
    <col min="8202" max="8202" width="45.54296875" style="1" customWidth="1"/>
    <col min="8203" max="8203" width="8.08984375" style="1" customWidth="1"/>
    <col min="8204" max="8204" width="9.08984375" style="1" bestFit="1" customWidth="1"/>
    <col min="8205" max="8205" width="40.54296875" style="1" customWidth="1"/>
    <col min="8206" max="8212" width="12.90625" style="1" customWidth="1"/>
    <col min="8213" max="8213" width="13.08984375" style="1" customWidth="1"/>
    <col min="8214" max="8214" width="48.08984375" style="1" customWidth="1"/>
    <col min="8215" max="8215" width="4.08984375" style="1" customWidth="1"/>
    <col min="8216" max="8216" width="2.453125" style="1" customWidth="1"/>
    <col min="8217" max="8217" width="4.54296875" style="1" bestFit="1" customWidth="1"/>
    <col min="8218" max="8218" width="8.08984375" style="1" bestFit="1" customWidth="1"/>
    <col min="8219" max="8219" width="5.453125" style="1" bestFit="1" customWidth="1"/>
    <col min="8220" max="8220" width="4.90625" style="1" bestFit="1" customWidth="1"/>
    <col min="8221" max="8221" width="2.453125" style="1" customWidth="1"/>
    <col min="8222" max="8222" width="4.54296875" style="1" customWidth="1"/>
    <col min="8223" max="8455" width="2.453125" style="1" customWidth="1"/>
    <col min="8456" max="8456" width="3.08984375" style="1" customWidth="1"/>
    <col min="8457" max="8457" width="3.453125" style="1" customWidth="1"/>
    <col min="8458" max="8458" width="45.54296875" style="1" customWidth="1"/>
    <col min="8459" max="8459" width="8.08984375" style="1" customWidth="1"/>
    <col min="8460" max="8460" width="9.08984375" style="1" bestFit="1" customWidth="1"/>
    <col min="8461" max="8461" width="40.54296875" style="1" customWidth="1"/>
    <col min="8462" max="8468" width="12.90625" style="1" customWidth="1"/>
    <col min="8469" max="8469" width="13.08984375" style="1" customWidth="1"/>
    <col min="8470" max="8470" width="48.08984375" style="1" customWidth="1"/>
    <col min="8471" max="8471" width="4.08984375" style="1" customWidth="1"/>
    <col min="8472" max="8472" width="2.453125" style="1" customWidth="1"/>
    <col min="8473" max="8473" width="4.54296875" style="1" bestFit="1" customWidth="1"/>
    <col min="8474" max="8474" width="8.08984375" style="1" bestFit="1" customWidth="1"/>
    <col min="8475" max="8475" width="5.453125" style="1" bestFit="1" customWidth="1"/>
    <col min="8476" max="8476" width="4.90625" style="1" bestFit="1" customWidth="1"/>
    <col min="8477" max="8477" width="2.453125" style="1" customWidth="1"/>
    <col min="8478" max="8478" width="4.54296875" style="1" customWidth="1"/>
    <col min="8479" max="8711" width="2.453125" style="1" customWidth="1"/>
    <col min="8712" max="8712" width="3.08984375" style="1" customWidth="1"/>
    <col min="8713" max="8713" width="3.453125" style="1" customWidth="1"/>
    <col min="8714" max="8714" width="45.54296875" style="1" customWidth="1"/>
    <col min="8715" max="8715" width="8.08984375" style="1" customWidth="1"/>
    <col min="8716" max="8716" width="9.08984375" style="1" bestFit="1" customWidth="1"/>
    <col min="8717" max="8717" width="40.54296875" style="1" customWidth="1"/>
    <col min="8718" max="8724" width="12.90625" style="1" customWidth="1"/>
    <col min="8725" max="8725" width="13.08984375" style="1" customWidth="1"/>
    <col min="8726" max="8726" width="48.08984375" style="1" customWidth="1"/>
    <col min="8727" max="8727" width="4.08984375" style="1" customWidth="1"/>
    <col min="8728" max="8728" width="2.453125" style="1" customWidth="1"/>
    <col min="8729" max="8729" width="4.54296875" style="1" bestFit="1" customWidth="1"/>
    <col min="8730" max="8730" width="8.08984375" style="1" bestFit="1" customWidth="1"/>
    <col min="8731" max="8731" width="5.453125" style="1" bestFit="1" customWidth="1"/>
    <col min="8732" max="8732" width="4.90625" style="1" bestFit="1" customWidth="1"/>
    <col min="8733" max="8733" width="2.453125" style="1" customWidth="1"/>
    <col min="8734" max="8734" width="4.54296875" style="1" customWidth="1"/>
    <col min="8735" max="8967" width="2.453125" style="1" customWidth="1"/>
    <col min="8968" max="8968" width="3.08984375" style="1" customWidth="1"/>
    <col min="8969" max="8969" width="3.453125" style="1" customWidth="1"/>
    <col min="8970" max="8970" width="45.54296875" style="1" customWidth="1"/>
    <col min="8971" max="8971" width="8.08984375" style="1" customWidth="1"/>
    <col min="8972" max="8972" width="9.08984375" style="1" bestFit="1" customWidth="1"/>
    <col min="8973" max="8973" width="40.54296875" style="1" customWidth="1"/>
    <col min="8974" max="8980" width="12.90625" style="1" customWidth="1"/>
    <col min="8981" max="8981" width="13.08984375" style="1" customWidth="1"/>
    <col min="8982" max="8982" width="48.08984375" style="1" customWidth="1"/>
    <col min="8983" max="8983" width="4.08984375" style="1" customWidth="1"/>
    <col min="8984" max="8984" width="2.453125" style="1" customWidth="1"/>
    <col min="8985" max="8985" width="4.54296875" style="1" bestFit="1" customWidth="1"/>
    <col min="8986" max="8986" width="8.08984375" style="1" bestFit="1" customWidth="1"/>
    <col min="8987" max="8987" width="5.453125" style="1" bestFit="1" customWidth="1"/>
    <col min="8988" max="8988" width="4.90625" style="1" bestFit="1" customWidth="1"/>
    <col min="8989" max="8989" width="2.453125" style="1" customWidth="1"/>
    <col min="8990" max="8990" width="4.54296875" style="1" customWidth="1"/>
    <col min="8991" max="9223" width="2.453125" style="1" customWidth="1"/>
    <col min="9224" max="9224" width="3.08984375" style="1" customWidth="1"/>
    <col min="9225" max="9225" width="3.453125" style="1" customWidth="1"/>
    <col min="9226" max="9226" width="45.54296875" style="1" customWidth="1"/>
    <col min="9227" max="9227" width="8.08984375" style="1" customWidth="1"/>
    <col min="9228" max="9228" width="9.08984375" style="1" bestFit="1" customWidth="1"/>
    <col min="9229" max="9229" width="40.54296875" style="1" customWidth="1"/>
    <col min="9230" max="9236" width="12.90625" style="1" customWidth="1"/>
    <col min="9237" max="9237" width="13.08984375" style="1" customWidth="1"/>
    <col min="9238" max="9238" width="48.08984375" style="1" customWidth="1"/>
    <col min="9239" max="9239" width="4.08984375" style="1" customWidth="1"/>
    <col min="9240" max="9240" width="2.453125" style="1" customWidth="1"/>
    <col min="9241" max="9241" width="4.54296875" style="1" bestFit="1" customWidth="1"/>
    <col min="9242" max="9242" width="8.08984375" style="1" bestFit="1" customWidth="1"/>
    <col min="9243" max="9243" width="5.453125" style="1" bestFit="1" customWidth="1"/>
    <col min="9244" max="9244" width="4.90625" style="1" bestFit="1" customWidth="1"/>
    <col min="9245" max="9245" width="2.453125" style="1" customWidth="1"/>
    <col min="9246" max="9246" width="4.54296875" style="1" customWidth="1"/>
    <col min="9247" max="9479" width="2.453125" style="1" customWidth="1"/>
    <col min="9480" max="9480" width="3.08984375" style="1" customWidth="1"/>
    <col min="9481" max="9481" width="3.453125" style="1" customWidth="1"/>
    <col min="9482" max="9482" width="45.54296875" style="1" customWidth="1"/>
    <col min="9483" max="9483" width="8.08984375" style="1" customWidth="1"/>
    <col min="9484" max="9484" width="9.08984375" style="1" bestFit="1" customWidth="1"/>
    <col min="9485" max="9485" width="40.54296875" style="1" customWidth="1"/>
    <col min="9486" max="9492" width="12.90625" style="1" customWidth="1"/>
    <col min="9493" max="9493" width="13.08984375" style="1" customWidth="1"/>
    <col min="9494" max="9494" width="48.08984375" style="1" customWidth="1"/>
    <col min="9495" max="9495" width="4.08984375" style="1" customWidth="1"/>
    <col min="9496" max="9496" width="2.453125" style="1" customWidth="1"/>
    <col min="9497" max="9497" width="4.54296875" style="1" bestFit="1" customWidth="1"/>
    <col min="9498" max="9498" width="8.08984375" style="1" bestFit="1" customWidth="1"/>
    <col min="9499" max="9499" width="5.453125" style="1" bestFit="1" customWidth="1"/>
    <col min="9500" max="9500" width="4.90625" style="1" bestFit="1" customWidth="1"/>
    <col min="9501" max="9501" width="2.453125" style="1" customWidth="1"/>
    <col min="9502" max="9502" width="4.54296875" style="1" customWidth="1"/>
    <col min="9503" max="9735" width="2.453125" style="1" customWidth="1"/>
    <col min="9736" max="9736" width="3.08984375" style="1" customWidth="1"/>
    <col min="9737" max="9737" width="3.453125" style="1" customWidth="1"/>
    <col min="9738" max="9738" width="45.54296875" style="1" customWidth="1"/>
    <col min="9739" max="9739" width="8.08984375" style="1" customWidth="1"/>
    <col min="9740" max="9740" width="9.08984375" style="1" bestFit="1" customWidth="1"/>
    <col min="9741" max="9741" width="40.54296875" style="1" customWidth="1"/>
    <col min="9742" max="9748" width="12.90625" style="1" customWidth="1"/>
    <col min="9749" max="9749" width="13.08984375" style="1" customWidth="1"/>
    <col min="9750" max="9750" width="48.08984375" style="1" customWidth="1"/>
    <col min="9751" max="9751" width="4.08984375" style="1" customWidth="1"/>
    <col min="9752" max="9752" width="2.453125" style="1" customWidth="1"/>
    <col min="9753" max="9753" width="4.54296875" style="1" bestFit="1" customWidth="1"/>
    <col min="9754" max="9754" width="8.08984375" style="1" bestFit="1" customWidth="1"/>
    <col min="9755" max="9755" width="5.453125" style="1" bestFit="1" customWidth="1"/>
    <col min="9756" max="9756" width="4.90625" style="1" bestFit="1" customWidth="1"/>
    <col min="9757" max="9757" width="2.453125" style="1" customWidth="1"/>
    <col min="9758" max="9758" width="4.54296875" style="1" customWidth="1"/>
    <col min="9759" max="9991" width="2.453125" style="1" customWidth="1"/>
    <col min="9992" max="9992" width="3.08984375" style="1" customWidth="1"/>
    <col min="9993" max="9993" width="3.453125" style="1" customWidth="1"/>
    <col min="9994" max="9994" width="45.54296875" style="1" customWidth="1"/>
    <col min="9995" max="9995" width="8.08984375" style="1" customWidth="1"/>
    <col min="9996" max="9996" width="9.08984375" style="1" bestFit="1" customWidth="1"/>
    <col min="9997" max="9997" width="40.54296875" style="1" customWidth="1"/>
    <col min="9998" max="10004" width="12.90625" style="1" customWidth="1"/>
    <col min="10005" max="10005" width="13.08984375" style="1" customWidth="1"/>
    <col min="10006" max="10006" width="48.08984375" style="1" customWidth="1"/>
    <col min="10007" max="10007" width="4.08984375" style="1" customWidth="1"/>
    <col min="10008" max="10008" width="2.453125" style="1" customWidth="1"/>
    <col min="10009" max="10009" width="4.54296875" style="1" bestFit="1" customWidth="1"/>
    <col min="10010" max="10010" width="8.08984375" style="1" bestFit="1" customWidth="1"/>
    <col min="10011" max="10011" width="5.453125" style="1" bestFit="1" customWidth="1"/>
    <col min="10012" max="10012" width="4.90625" style="1" bestFit="1" customWidth="1"/>
    <col min="10013" max="10013" width="2.453125" style="1" customWidth="1"/>
    <col min="10014" max="10014" width="4.54296875" style="1" customWidth="1"/>
    <col min="10015" max="10247" width="2.453125" style="1" customWidth="1"/>
    <col min="10248" max="10248" width="3.08984375" style="1" customWidth="1"/>
    <col min="10249" max="10249" width="3.453125" style="1" customWidth="1"/>
    <col min="10250" max="10250" width="45.54296875" style="1" customWidth="1"/>
    <col min="10251" max="10251" width="8.08984375" style="1" customWidth="1"/>
    <col min="10252" max="10252" width="9.08984375" style="1" bestFit="1" customWidth="1"/>
    <col min="10253" max="10253" width="40.54296875" style="1" customWidth="1"/>
    <col min="10254" max="10260" width="12.90625" style="1" customWidth="1"/>
    <col min="10261" max="10261" width="13.08984375" style="1" customWidth="1"/>
    <col min="10262" max="10262" width="48.08984375" style="1" customWidth="1"/>
    <col min="10263" max="10263" width="4.08984375" style="1" customWidth="1"/>
    <col min="10264" max="10264" width="2.453125" style="1" customWidth="1"/>
    <col min="10265" max="10265" width="4.54296875" style="1" bestFit="1" customWidth="1"/>
    <col min="10266" max="10266" width="8.08984375" style="1" bestFit="1" customWidth="1"/>
    <col min="10267" max="10267" width="5.453125" style="1" bestFit="1" customWidth="1"/>
    <col min="10268" max="10268" width="4.90625" style="1" bestFit="1" customWidth="1"/>
    <col min="10269" max="10269" width="2.453125" style="1" customWidth="1"/>
    <col min="10270" max="10270" width="4.54296875" style="1" customWidth="1"/>
    <col min="10271" max="10503" width="2.453125" style="1" customWidth="1"/>
    <col min="10504" max="10504" width="3.08984375" style="1" customWidth="1"/>
    <col min="10505" max="10505" width="3.453125" style="1" customWidth="1"/>
    <col min="10506" max="10506" width="45.54296875" style="1" customWidth="1"/>
    <col min="10507" max="10507" width="8.08984375" style="1" customWidth="1"/>
    <col min="10508" max="10508" width="9.08984375" style="1" bestFit="1" customWidth="1"/>
    <col min="10509" max="10509" width="40.54296875" style="1" customWidth="1"/>
    <col min="10510" max="10516" width="12.90625" style="1" customWidth="1"/>
    <col min="10517" max="10517" width="13.08984375" style="1" customWidth="1"/>
    <col min="10518" max="10518" width="48.08984375" style="1" customWidth="1"/>
    <col min="10519" max="10519" width="4.08984375" style="1" customWidth="1"/>
    <col min="10520" max="10520" width="2.453125" style="1" customWidth="1"/>
    <col min="10521" max="10521" width="4.54296875" style="1" bestFit="1" customWidth="1"/>
    <col min="10522" max="10522" width="8.08984375" style="1" bestFit="1" customWidth="1"/>
    <col min="10523" max="10523" width="5.453125" style="1" bestFit="1" customWidth="1"/>
    <col min="10524" max="10524" width="4.90625" style="1" bestFit="1" customWidth="1"/>
    <col min="10525" max="10525" width="2.453125" style="1" customWidth="1"/>
    <col min="10526" max="10526" width="4.54296875" style="1" customWidth="1"/>
    <col min="10527" max="10759" width="2.453125" style="1" customWidth="1"/>
    <col min="10760" max="10760" width="3.08984375" style="1" customWidth="1"/>
    <col min="10761" max="10761" width="3.453125" style="1" customWidth="1"/>
    <col min="10762" max="10762" width="45.54296875" style="1" customWidth="1"/>
    <col min="10763" max="10763" width="8.08984375" style="1" customWidth="1"/>
    <col min="10764" max="10764" width="9.08984375" style="1" bestFit="1" customWidth="1"/>
    <col min="10765" max="10765" width="40.54296875" style="1" customWidth="1"/>
    <col min="10766" max="10772" width="12.90625" style="1" customWidth="1"/>
    <col min="10773" max="10773" width="13.08984375" style="1" customWidth="1"/>
    <col min="10774" max="10774" width="48.08984375" style="1" customWidth="1"/>
    <col min="10775" max="10775" width="4.08984375" style="1" customWidth="1"/>
    <col min="10776" max="10776" width="2.453125" style="1" customWidth="1"/>
    <col min="10777" max="10777" width="4.54296875" style="1" bestFit="1" customWidth="1"/>
    <col min="10778" max="10778" width="8.08984375" style="1" bestFit="1" customWidth="1"/>
    <col min="10779" max="10779" width="5.453125" style="1" bestFit="1" customWidth="1"/>
    <col min="10780" max="10780" width="4.90625" style="1" bestFit="1" customWidth="1"/>
    <col min="10781" max="10781" width="2.453125" style="1" customWidth="1"/>
    <col min="10782" max="10782" width="4.54296875" style="1" customWidth="1"/>
    <col min="10783" max="11015" width="2.453125" style="1" customWidth="1"/>
    <col min="11016" max="11016" width="3.08984375" style="1" customWidth="1"/>
    <col min="11017" max="11017" width="3.453125" style="1" customWidth="1"/>
    <col min="11018" max="11018" width="45.54296875" style="1" customWidth="1"/>
    <col min="11019" max="11019" width="8.08984375" style="1" customWidth="1"/>
    <col min="11020" max="11020" width="9.08984375" style="1" bestFit="1" customWidth="1"/>
    <col min="11021" max="11021" width="40.54296875" style="1" customWidth="1"/>
    <col min="11022" max="11028" width="12.90625" style="1" customWidth="1"/>
    <col min="11029" max="11029" width="13.08984375" style="1" customWidth="1"/>
    <col min="11030" max="11030" width="48.08984375" style="1" customWidth="1"/>
    <col min="11031" max="11031" width="4.08984375" style="1" customWidth="1"/>
    <col min="11032" max="11032" width="2.453125" style="1" customWidth="1"/>
    <col min="11033" max="11033" width="4.54296875" style="1" bestFit="1" customWidth="1"/>
    <col min="11034" max="11034" width="8.08984375" style="1" bestFit="1" customWidth="1"/>
    <col min="11035" max="11035" width="5.453125" style="1" bestFit="1" customWidth="1"/>
    <col min="11036" max="11036" width="4.90625" style="1" bestFit="1" customWidth="1"/>
    <col min="11037" max="11037" width="2.453125" style="1" customWidth="1"/>
    <col min="11038" max="11038" width="4.54296875" style="1" customWidth="1"/>
    <col min="11039" max="11271" width="2.453125" style="1" customWidth="1"/>
    <col min="11272" max="11272" width="3.08984375" style="1" customWidth="1"/>
    <col min="11273" max="11273" width="3.453125" style="1" customWidth="1"/>
    <col min="11274" max="11274" width="45.54296875" style="1" customWidth="1"/>
    <col min="11275" max="11275" width="8.08984375" style="1" customWidth="1"/>
    <col min="11276" max="11276" width="9.08984375" style="1" bestFit="1" customWidth="1"/>
    <col min="11277" max="11277" width="40.54296875" style="1" customWidth="1"/>
    <col min="11278" max="11284" width="12.90625" style="1" customWidth="1"/>
    <col min="11285" max="11285" width="13.08984375" style="1" customWidth="1"/>
    <col min="11286" max="11286" width="48.08984375" style="1" customWidth="1"/>
    <col min="11287" max="11287" width="4.08984375" style="1" customWidth="1"/>
    <col min="11288" max="11288" width="2.453125" style="1" customWidth="1"/>
    <col min="11289" max="11289" width="4.54296875" style="1" bestFit="1" customWidth="1"/>
    <col min="11290" max="11290" width="8.08984375" style="1" bestFit="1" customWidth="1"/>
    <col min="11291" max="11291" width="5.453125" style="1" bestFit="1" customWidth="1"/>
    <col min="11292" max="11292" width="4.90625" style="1" bestFit="1" customWidth="1"/>
    <col min="11293" max="11293" width="2.453125" style="1" customWidth="1"/>
    <col min="11294" max="11294" width="4.54296875" style="1" customWidth="1"/>
    <col min="11295" max="11527" width="2.453125" style="1" customWidth="1"/>
    <col min="11528" max="11528" width="3.08984375" style="1" customWidth="1"/>
    <col min="11529" max="11529" width="3.453125" style="1" customWidth="1"/>
    <col min="11530" max="11530" width="45.54296875" style="1" customWidth="1"/>
    <col min="11531" max="11531" width="8.08984375" style="1" customWidth="1"/>
    <col min="11532" max="11532" width="9.08984375" style="1" bestFit="1" customWidth="1"/>
    <col min="11533" max="11533" width="40.54296875" style="1" customWidth="1"/>
    <col min="11534" max="11540" width="12.90625" style="1" customWidth="1"/>
    <col min="11541" max="11541" width="13.08984375" style="1" customWidth="1"/>
    <col min="11542" max="11542" width="48.08984375" style="1" customWidth="1"/>
    <col min="11543" max="11543" width="4.08984375" style="1" customWidth="1"/>
    <col min="11544" max="11544" width="2.453125" style="1" customWidth="1"/>
    <col min="11545" max="11545" width="4.54296875" style="1" bestFit="1" customWidth="1"/>
    <col min="11546" max="11546" width="8.08984375" style="1" bestFit="1" customWidth="1"/>
    <col min="11547" max="11547" width="5.453125" style="1" bestFit="1" customWidth="1"/>
    <col min="11548" max="11548" width="4.90625" style="1" bestFit="1" customWidth="1"/>
    <col min="11549" max="11549" width="2.453125" style="1" customWidth="1"/>
    <col min="11550" max="11550" width="4.54296875" style="1" customWidth="1"/>
    <col min="11551" max="11783" width="2.453125" style="1" customWidth="1"/>
    <col min="11784" max="11784" width="3.08984375" style="1" customWidth="1"/>
    <col min="11785" max="11785" width="3.453125" style="1" customWidth="1"/>
    <col min="11786" max="11786" width="45.54296875" style="1" customWidth="1"/>
    <col min="11787" max="11787" width="8.08984375" style="1" customWidth="1"/>
    <col min="11788" max="11788" width="9.08984375" style="1" bestFit="1" customWidth="1"/>
    <col min="11789" max="11789" width="40.54296875" style="1" customWidth="1"/>
    <col min="11790" max="11796" width="12.90625" style="1" customWidth="1"/>
    <col min="11797" max="11797" width="13.08984375" style="1" customWidth="1"/>
    <col min="11798" max="11798" width="48.08984375" style="1" customWidth="1"/>
    <col min="11799" max="11799" width="4.08984375" style="1" customWidth="1"/>
    <col min="11800" max="11800" width="2.453125" style="1" customWidth="1"/>
    <col min="11801" max="11801" width="4.54296875" style="1" bestFit="1" customWidth="1"/>
    <col min="11802" max="11802" width="8.08984375" style="1" bestFit="1" customWidth="1"/>
    <col min="11803" max="11803" width="5.453125" style="1" bestFit="1" customWidth="1"/>
    <col min="11804" max="11804" width="4.90625" style="1" bestFit="1" customWidth="1"/>
    <col min="11805" max="11805" width="2.453125" style="1" customWidth="1"/>
    <col min="11806" max="11806" width="4.54296875" style="1" customWidth="1"/>
    <col min="11807" max="12039" width="2.453125" style="1" customWidth="1"/>
    <col min="12040" max="12040" width="3.08984375" style="1" customWidth="1"/>
    <col min="12041" max="12041" width="3.453125" style="1" customWidth="1"/>
    <col min="12042" max="12042" width="45.54296875" style="1" customWidth="1"/>
    <col min="12043" max="12043" width="8.08984375" style="1" customWidth="1"/>
    <col min="12044" max="12044" width="9.08984375" style="1" bestFit="1" customWidth="1"/>
    <col min="12045" max="12045" width="40.54296875" style="1" customWidth="1"/>
    <col min="12046" max="12052" width="12.90625" style="1" customWidth="1"/>
    <col min="12053" max="12053" width="13.08984375" style="1" customWidth="1"/>
    <col min="12054" max="12054" width="48.08984375" style="1" customWidth="1"/>
    <col min="12055" max="12055" width="4.08984375" style="1" customWidth="1"/>
    <col min="12056" max="12056" width="2.453125" style="1" customWidth="1"/>
    <col min="12057" max="12057" width="4.54296875" style="1" bestFit="1" customWidth="1"/>
    <col min="12058" max="12058" width="8.08984375" style="1" bestFit="1" customWidth="1"/>
    <col min="12059" max="12059" width="5.453125" style="1" bestFit="1" customWidth="1"/>
    <col min="12060" max="12060" width="4.90625" style="1" bestFit="1" customWidth="1"/>
    <col min="12061" max="12061" width="2.453125" style="1" customWidth="1"/>
    <col min="12062" max="12062" width="4.54296875" style="1" customWidth="1"/>
    <col min="12063" max="12295" width="2.453125" style="1" customWidth="1"/>
    <col min="12296" max="12296" width="3.08984375" style="1" customWidth="1"/>
    <col min="12297" max="12297" width="3.453125" style="1" customWidth="1"/>
    <col min="12298" max="12298" width="45.54296875" style="1" customWidth="1"/>
    <col min="12299" max="12299" width="8.08984375" style="1" customWidth="1"/>
    <col min="12300" max="12300" width="9.08984375" style="1" bestFit="1" customWidth="1"/>
    <col min="12301" max="12301" width="40.54296875" style="1" customWidth="1"/>
    <col min="12302" max="12308" width="12.90625" style="1" customWidth="1"/>
    <col min="12309" max="12309" width="13.08984375" style="1" customWidth="1"/>
    <col min="12310" max="12310" width="48.08984375" style="1" customWidth="1"/>
    <col min="12311" max="12311" width="4.08984375" style="1" customWidth="1"/>
    <col min="12312" max="12312" width="2.453125" style="1" customWidth="1"/>
    <col min="12313" max="12313" width="4.54296875" style="1" bestFit="1" customWidth="1"/>
    <col min="12314" max="12314" width="8.08984375" style="1" bestFit="1" customWidth="1"/>
    <col min="12315" max="12315" width="5.453125" style="1" bestFit="1" customWidth="1"/>
    <col min="12316" max="12316" width="4.90625" style="1" bestFit="1" customWidth="1"/>
    <col min="12317" max="12317" width="2.453125" style="1" customWidth="1"/>
    <col min="12318" max="12318" width="4.54296875" style="1" customWidth="1"/>
    <col min="12319" max="12551" width="2.453125" style="1" customWidth="1"/>
    <col min="12552" max="12552" width="3.08984375" style="1" customWidth="1"/>
    <col min="12553" max="12553" width="3.453125" style="1" customWidth="1"/>
    <col min="12554" max="12554" width="45.54296875" style="1" customWidth="1"/>
    <col min="12555" max="12555" width="8.08984375" style="1" customWidth="1"/>
    <col min="12556" max="12556" width="9.08984375" style="1" bestFit="1" customWidth="1"/>
    <col min="12557" max="12557" width="40.54296875" style="1" customWidth="1"/>
    <col min="12558" max="12564" width="12.90625" style="1" customWidth="1"/>
    <col min="12565" max="12565" width="13.08984375" style="1" customWidth="1"/>
    <col min="12566" max="12566" width="48.08984375" style="1" customWidth="1"/>
    <col min="12567" max="12567" width="4.08984375" style="1" customWidth="1"/>
    <col min="12568" max="12568" width="2.453125" style="1" customWidth="1"/>
    <col min="12569" max="12569" width="4.54296875" style="1" bestFit="1" customWidth="1"/>
    <col min="12570" max="12570" width="8.08984375" style="1" bestFit="1" customWidth="1"/>
    <col min="12571" max="12571" width="5.453125" style="1" bestFit="1" customWidth="1"/>
    <col min="12572" max="12572" width="4.90625" style="1" bestFit="1" customWidth="1"/>
    <col min="12573" max="12573" width="2.453125" style="1" customWidth="1"/>
    <col min="12574" max="12574" width="4.54296875" style="1" customWidth="1"/>
    <col min="12575" max="12807" width="2.453125" style="1" customWidth="1"/>
    <col min="12808" max="12808" width="3.08984375" style="1" customWidth="1"/>
    <col min="12809" max="12809" width="3.453125" style="1" customWidth="1"/>
    <col min="12810" max="12810" width="45.54296875" style="1" customWidth="1"/>
    <col min="12811" max="12811" width="8.08984375" style="1" customWidth="1"/>
    <col min="12812" max="12812" width="9.08984375" style="1" bestFit="1" customWidth="1"/>
    <col min="12813" max="12813" width="40.54296875" style="1" customWidth="1"/>
    <col min="12814" max="12820" width="12.90625" style="1" customWidth="1"/>
    <col min="12821" max="12821" width="13.08984375" style="1" customWidth="1"/>
    <col min="12822" max="12822" width="48.08984375" style="1" customWidth="1"/>
    <col min="12823" max="12823" width="4.08984375" style="1" customWidth="1"/>
    <col min="12824" max="12824" width="2.453125" style="1" customWidth="1"/>
    <col min="12825" max="12825" width="4.54296875" style="1" bestFit="1" customWidth="1"/>
    <col min="12826" max="12826" width="8.08984375" style="1" bestFit="1" customWidth="1"/>
    <col min="12827" max="12827" width="5.453125" style="1" bestFit="1" customWidth="1"/>
    <col min="12828" max="12828" width="4.90625" style="1" bestFit="1" customWidth="1"/>
    <col min="12829" max="12829" width="2.453125" style="1" customWidth="1"/>
    <col min="12830" max="12830" width="4.54296875" style="1" customWidth="1"/>
    <col min="12831" max="13063" width="2.453125" style="1" customWidth="1"/>
    <col min="13064" max="13064" width="3.08984375" style="1" customWidth="1"/>
    <col min="13065" max="13065" width="3.453125" style="1" customWidth="1"/>
    <col min="13066" max="13066" width="45.54296875" style="1" customWidth="1"/>
    <col min="13067" max="13067" width="8.08984375" style="1" customWidth="1"/>
    <col min="13068" max="13068" width="9.08984375" style="1" bestFit="1" customWidth="1"/>
    <col min="13069" max="13069" width="40.54296875" style="1" customWidth="1"/>
    <col min="13070" max="13076" width="12.90625" style="1" customWidth="1"/>
    <col min="13077" max="13077" width="13.08984375" style="1" customWidth="1"/>
    <col min="13078" max="13078" width="48.08984375" style="1" customWidth="1"/>
    <col min="13079" max="13079" width="4.08984375" style="1" customWidth="1"/>
    <col min="13080" max="13080" width="2.453125" style="1" customWidth="1"/>
    <col min="13081" max="13081" width="4.54296875" style="1" bestFit="1" customWidth="1"/>
    <col min="13082" max="13082" width="8.08984375" style="1" bestFit="1" customWidth="1"/>
    <col min="13083" max="13083" width="5.453125" style="1" bestFit="1" customWidth="1"/>
    <col min="13084" max="13084" width="4.90625" style="1" bestFit="1" customWidth="1"/>
    <col min="13085" max="13085" width="2.453125" style="1" customWidth="1"/>
    <col min="13086" max="13086" width="4.54296875" style="1" customWidth="1"/>
    <col min="13087" max="13319" width="2.453125" style="1" customWidth="1"/>
    <col min="13320" max="13320" width="3.08984375" style="1" customWidth="1"/>
    <col min="13321" max="13321" width="3.453125" style="1" customWidth="1"/>
    <col min="13322" max="13322" width="45.54296875" style="1" customWidth="1"/>
    <col min="13323" max="13323" width="8.08984375" style="1" customWidth="1"/>
    <col min="13324" max="13324" width="9.08984375" style="1" bestFit="1" customWidth="1"/>
    <col min="13325" max="13325" width="40.54296875" style="1" customWidth="1"/>
    <col min="13326" max="13332" width="12.90625" style="1" customWidth="1"/>
    <col min="13333" max="13333" width="13.08984375" style="1" customWidth="1"/>
    <col min="13334" max="13334" width="48.08984375" style="1" customWidth="1"/>
    <col min="13335" max="13335" width="4.08984375" style="1" customWidth="1"/>
    <col min="13336" max="13336" width="2.453125" style="1" customWidth="1"/>
    <col min="13337" max="13337" width="4.54296875" style="1" bestFit="1" customWidth="1"/>
    <col min="13338" max="13338" width="8.08984375" style="1" bestFit="1" customWidth="1"/>
    <col min="13339" max="13339" width="5.453125" style="1" bestFit="1" customWidth="1"/>
    <col min="13340" max="13340" width="4.90625" style="1" bestFit="1" customWidth="1"/>
    <col min="13341" max="13341" width="2.453125" style="1" customWidth="1"/>
    <col min="13342" max="13342" width="4.54296875" style="1" customWidth="1"/>
    <col min="13343" max="13575" width="2.453125" style="1" customWidth="1"/>
    <col min="13576" max="13576" width="3.08984375" style="1" customWidth="1"/>
    <col min="13577" max="13577" width="3.453125" style="1" customWidth="1"/>
    <col min="13578" max="13578" width="45.54296875" style="1" customWidth="1"/>
    <col min="13579" max="13579" width="8.08984375" style="1" customWidth="1"/>
    <col min="13580" max="13580" width="9.08984375" style="1" bestFit="1" customWidth="1"/>
    <col min="13581" max="13581" width="40.54296875" style="1" customWidth="1"/>
    <col min="13582" max="13588" width="12.90625" style="1" customWidth="1"/>
    <col min="13589" max="13589" width="13.08984375" style="1" customWidth="1"/>
    <col min="13590" max="13590" width="48.08984375" style="1" customWidth="1"/>
    <col min="13591" max="13591" width="4.08984375" style="1" customWidth="1"/>
    <col min="13592" max="13592" width="2.453125" style="1" customWidth="1"/>
    <col min="13593" max="13593" width="4.54296875" style="1" bestFit="1" customWidth="1"/>
    <col min="13594" max="13594" width="8.08984375" style="1" bestFit="1" customWidth="1"/>
    <col min="13595" max="13595" width="5.453125" style="1" bestFit="1" customWidth="1"/>
    <col min="13596" max="13596" width="4.90625" style="1" bestFit="1" customWidth="1"/>
    <col min="13597" max="13597" width="2.453125" style="1" customWidth="1"/>
    <col min="13598" max="13598" width="4.54296875" style="1" customWidth="1"/>
    <col min="13599" max="13831" width="2.453125" style="1" customWidth="1"/>
    <col min="13832" max="13832" width="3.08984375" style="1" customWidth="1"/>
    <col min="13833" max="13833" width="3.453125" style="1" customWidth="1"/>
    <col min="13834" max="13834" width="45.54296875" style="1" customWidth="1"/>
    <col min="13835" max="13835" width="8.08984375" style="1" customWidth="1"/>
    <col min="13836" max="13836" width="9.08984375" style="1" bestFit="1" customWidth="1"/>
    <col min="13837" max="13837" width="40.54296875" style="1" customWidth="1"/>
    <col min="13838" max="13844" width="12.90625" style="1" customWidth="1"/>
    <col min="13845" max="13845" width="13.08984375" style="1" customWidth="1"/>
    <col min="13846" max="13846" width="48.08984375" style="1" customWidth="1"/>
    <col min="13847" max="13847" width="4.08984375" style="1" customWidth="1"/>
    <col min="13848" max="13848" width="2.453125" style="1" customWidth="1"/>
    <col min="13849" max="13849" width="4.54296875" style="1" bestFit="1" customWidth="1"/>
    <col min="13850" max="13850" width="8.08984375" style="1" bestFit="1" customWidth="1"/>
    <col min="13851" max="13851" width="5.453125" style="1" bestFit="1" customWidth="1"/>
    <col min="13852" max="13852" width="4.90625" style="1" bestFit="1" customWidth="1"/>
    <col min="13853" max="13853" width="2.453125" style="1" customWidth="1"/>
    <col min="13854" max="13854" width="4.54296875" style="1" customWidth="1"/>
    <col min="13855" max="14087" width="2.453125" style="1" customWidth="1"/>
    <col min="14088" max="14088" width="3.08984375" style="1" customWidth="1"/>
    <col min="14089" max="14089" width="3.453125" style="1" customWidth="1"/>
    <col min="14090" max="14090" width="45.54296875" style="1" customWidth="1"/>
    <col min="14091" max="14091" width="8.08984375" style="1" customWidth="1"/>
    <col min="14092" max="14092" width="9.08984375" style="1" bestFit="1" customWidth="1"/>
    <col min="14093" max="14093" width="40.54296875" style="1" customWidth="1"/>
    <col min="14094" max="14100" width="12.90625" style="1" customWidth="1"/>
    <col min="14101" max="14101" width="13.08984375" style="1" customWidth="1"/>
    <col min="14102" max="14102" width="48.08984375" style="1" customWidth="1"/>
    <col min="14103" max="14103" width="4.08984375" style="1" customWidth="1"/>
    <col min="14104" max="14104" width="2.453125" style="1" customWidth="1"/>
    <col min="14105" max="14105" width="4.54296875" style="1" bestFit="1" customWidth="1"/>
    <col min="14106" max="14106" width="8.08984375" style="1" bestFit="1" customWidth="1"/>
    <col min="14107" max="14107" width="5.453125" style="1" bestFit="1" customWidth="1"/>
    <col min="14108" max="14108" width="4.90625" style="1" bestFit="1" customWidth="1"/>
    <col min="14109" max="14109" width="2.453125" style="1" customWidth="1"/>
    <col min="14110" max="14110" width="4.54296875" style="1" customWidth="1"/>
    <col min="14111" max="14343" width="2.453125" style="1" customWidth="1"/>
    <col min="14344" max="14344" width="3.08984375" style="1" customWidth="1"/>
    <col min="14345" max="14345" width="3.453125" style="1" customWidth="1"/>
    <col min="14346" max="14346" width="45.54296875" style="1" customWidth="1"/>
    <col min="14347" max="14347" width="8.08984375" style="1" customWidth="1"/>
    <col min="14348" max="14348" width="9.08984375" style="1" bestFit="1" customWidth="1"/>
    <col min="14349" max="14349" width="40.54296875" style="1" customWidth="1"/>
    <col min="14350" max="14356" width="12.90625" style="1" customWidth="1"/>
    <col min="14357" max="14357" width="13.08984375" style="1" customWidth="1"/>
    <col min="14358" max="14358" width="48.08984375" style="1" customWidth="1"/>
    <col min="14359" max="14359" width="4.08984375" style="1" customWidth="1"/>
    <col min="14360" max="14360" width="2.453125" style="1" customWidth="1"/>
    <col min="14361" max="14361" width="4.54296875" style="1" bestFit="1" customWidth="1"/>
    <col min="14362" max="14362" width="8.08984375" style="1" bestFit="1" customWidth="1"/>
    <col min="14363" max="14363" width="5.453125" style="1" bestFit="1" customWidth="1"/>
    <col min="14364" max="14364" width="4.90625" style="1" bestFit="1" customWidth="1"/>
    <col min="14365" max="14365" width="2.453125" style="1" customWidth="1"/>
    <col min="14366" max="14366" width="4.54296875" style="1" customWidth="1"/>
    <col min="14367" max="14599" width="2.453125" style="1" customWidth="1"/>
    <col min="14600" max="14600" width="3.08984375" style="1" customWidth="1"/>
    <col min="14601" max="14601" width="3.453125" style="1" customWidth="1"/>
    <col min="14602" max="14602" width="45.54296875" style="1" customWidth="1"/>
    <col min="14603" max="14603" width="8.08984375" style="1" customWidth="1"/>
    <col min="14604" max="14604" width="9.08984375" style="1" bestFit="1" customWidth="1"/>
    <col min="14605" max="14605" width="40.54296875" style="1" customWidth="1"/>
    <col min="14606" max="14612" width="12.90625" style="1" customWidth="1"/>
    <col min="14613" max="14613" width="13.08984375" style="1" customWidth="1"/>
    <col min="14614" max="14614" width="48.08984375" style="1" customWidth="1"/>
    <col min="14615" max="14615" width="4.08984375" style="1" customWidth="1"/>
    <col min="14616" max="14616" width="2.453125" style="1" customWidth="1"/>
    <col min="14617" max="14617" width="4.54296875" style="1" bestFit="1" customWidth="1"/>
    <col min="14618" max="14618" width="8.08984375" style="1" bestFit="1" customWidth="1"/>
    <col min="14619" max="14619" width="5.453125" style="1" bestFit="1" customWidth="1"/>
    <col min="14620" max="14620" width="4.90625" style="1" bestFit="1" customWidth="1"/>
    <col min="14621" max="14621" width="2.453125" style="1" customWidth="1"/>
    <col min="14622" max="14622" width="4.54296875" style="1" customWidth="1"/>
    <col min="14623" max="14855" width="2.453125" style="1" customWidth="1"/>
    <col min="14856" max="14856" width="3.08984375" style="1" customWidth="1"/>
    <col min="14857" max="14857" width="3.453125" style="1" customWidth="1"/>
    <col min="14858" max="14858" width="45.54296875" style="1" customWidth="1"/>
    <col min="14859" max="14859" width="8.08984375" style="1" customWidth="1"/>
    <col min="14860" max="14860" width="9.08984375" style="1" bestFit="1" customWidth="1"/>
    <col min="14861" max="14861" width="40.54296875" style="1" customWidth="1"/>
    <col min="14862" max="14868" width="12.90625" style="1" customWidth="1"/>
    <col min="14869" max="14869" width="13.08984375" style="1" customWidth="1"/>
    <col min="14870" max="14870" width="48.08984375" style="1" customWidth="1"/>
    <col min="14871" max="14871" width="4.08984375" style="1" customWidth="1"/>
    <col min="14872" max="14872" width="2.453125" style="1" customWidth="1"/>
    <col min="14873" max="14873" width="4.54296875" style="1" bestFit="1" customWidth="1"/>
    <col min="14874" max="14874" width="8.08984375" style="1" bestFit="1" customWidth="1"/>
    <col min="14875" max="14875" width="5.453125" style="1" bestFit="1" customWidth="1"/>
    <col min="14876" max="14876" width="4.90625" style="1" bestFit="1" customWidth="1"/>
    <col min="14877" max="14877" width="2.453125" style="1" customWidth="1"/>
    <col min="14878" max="14878" width="4.54296875" style="1" customWidth="1"/>
    <col min="14879" max="15111" width="2.453125" style="1" customWidth="1"/>
    <col min="15112" max="15112" width="3.08984375" style="1" customWidth="1"/>
    <col min="15113" max="15113" width="3.453125" style="1" customWidth="1"/>
    <col min="15114" max="15114" width="45.54296875" style="1" customWidth="1"/>
    <col min="15115" max="15115" width="8.08984375" style="1" customWidth="1"/>
    <col min="15116" max="15116" width="9.08984375" style="1" bestFit="1" customWidth="1"/>
    <col min="15117" max="15117" width="40.54296875" style="1" customWidth="1"/>
    <col min="15118" max="15124" width="12.90625" style="1" customWidth="1"/>
    <col min="15125" max="15125" width="13.08984375" style="1" customWidth="1"/>
    <col min="15126" max="15126" width="48.08984375" style="1" customWidth="1"/>
    <col min="15127" max="15127" width="4.08984375" style="1" customWidth="1"/>
    <col min="15128" max="15128" width="2.453125" style="1" customWidth="1"/>
    <col min="15129" max="15129" width="4.54296875" style="1" bestFit="1" customWidth="1"/>
    <col min="15130" max="15130" width="8.08984375" style="1" bestFit="1" customWidth="1"/>
    <col min="15131" max="15131" width="5.453125" style="1" bestFit="1" customWidth="1"/>
    <col min="15132" max="15132" width="4.90625" style="1" bestFit="1" customWidth="1"/>
    <col min="15133" max="15133" width="2.453125" style="1" customWidth="1"/>
    <col min="15134" max="15134" width="4.54296875" style="1" customWidth="1"/>
    <col min="15135" max="15367" width="2.453125" style="1" customWidth="1"/>
    <col min="15368" max="15368" width="3.08984375" style="1" customWidth="1"/>
    <col min="15369" max="15369" width="3.453125" style="1" customWidth="1"/>
    <col min="15370" max="15370" width="45.54296875" style="1" customWidth="1"/>
    <col min="15371" max="15371" width="8.08984375" style="1" customWidth="1"/>
    <col min="15372" max="15372" width="9.08984375" style="1" bestFit="1" customWidth="1"/>
    <col min="15373" max="15373" width="40.54296875" style="1" customWidth="1"/>
    <col min="15374" max="15380" width="12.90625" style="1" customWidth="1"/>
    <col min="15381" max="15381" width="13.08984375" style="1" customWidth="1"/>
    <col min="15382" max="15382" width="48.08984375" style="1" customWidth="1"/>
    <col min="15383" max="15383" width="4.08984375" style="1" customWidth="1"/>
    <col min="15384" max="15384" width="2.453125" style="1" customWidth="1"/>
    <col min="15385" max="15385" width="4.54296875" style="1" bestFit="1" customWidth="1"/>
    <col min="15386" max="15386" width="8.08984375" style="1" bestFit="1" customWidth="1"/>
    <col min="15387" max="15387" width="5.453125" style="1" bestFit="1" customWidth="1"/>
    <col min="15388" max="15388" width="4.90625" style="1" bestFit="1" customWidth="1"/>
    <col min="15389" max="15389" width="2.453125" style="1" customWidth="1"/>
    <col min="15390" max="15390" width="4.54296875" style="1" customWidth="1"/>
    <col min="15391" max="15623" width="2.453125" style="1" customWidth="1"/>
    <col min="15624" max="15624" width="3.08984375" style="1" customWidth="1"/>
    <col min="15625" max="15625" width="3.453125" style="1" customWidth="1"/>
    <col min="15626" max="15626" width="45.54296875" style="1" customWidth="1"/>
    <col min="15627" max="15627" width="8.08984375" style="1" customWidth="1"/>
    <col min="15628" max="15628" width="9.08984375" style="1" bestFit="1" customWidth="1"/>
    <col min="15629" max="15629" width="40.54296875" style="1" customWidth="1"/>
    <col min="15630" max="15636" width="12.90625" style="1" customWidth="1"/>
    <col min="15637" max="15637" width="13.08984375" style="1" customWidth="1"/>
    <col min="15638" max="15638" width="48.08984375" style="1" customWidth="1"/>
    <col min="15639" max="15639" width="4.08984375" style="1" customWidth="1"/>
    <col min="15640" max="15640" width="2.453125" style="1" customWidth="1"/>
    <col min="15641" max="15641" width="4.54296875" style="1" bestFit="1" customWidth="1"/>
    <col min="15642" max="15642" width="8.08984375" style="1" bestFit="1" customWidth="1"/>
    <col min="15643" max="15643" width="5.453125" style="1" bestFit="1" customWidth="1"/>
    <col min="15644" max="15644" width="4.90625" style="1" bestFit="1" customWidth="1"/>
    <col min="15645" max="15645" width="2.453125" style="1" customWidth="1"/>
    <col min="15646" max="15646" width="4.54296875" style="1" customWidth="1"/>
    <col min="15647" max="15879" width="2.453125" style="1" customWidth="1"/>
    <col min="15880" max="15880" width="3.08984375" style="1" customWidth="1"/>
    <col min="15881" max="15881" width="3.453125" style="1" customWidth="1"/>
    <col min="15882" max="15882" width="45.54296875" style="1" customWidth="1"/>
    <col min="15883" max="15883" width="8.08984375" style="1" customWidth="1"/>
    <col min="15884" max="15884" width="9.08984375" style="1" bestFit="1" customWidth="1"/>
    <col min="15885" max="15885" width="40.54296875" style="1" customWidth="1"/>
    <col min="15886" max="15892" width="12.90625" style="1" customWidth="1"/>
    <col min="15893" max="15893" width="13.08984375" style="1" customWidth="1"/>
    <col min="15894" max="15894" width="48.08984375" style="1" customWidth="1"/>
    <col min="15895" max="15895" width="4.08984375" style="1" customWidth="1"/>
    <col min="15896" max="15896" width="2.453125" style="1" customWidth="1"/>
    <col min="15897" max="15897" width="4.54296875" style="1" bestFit="1" customWidth="1"/>
    <col min="15898" max="15898" width="8.08984375" style="1" bestFit="1" customWidth="1"/>
    <col min="15899" max="15899" width="5.453125" style="1" bestFit="1" customWidth="1"/>
    <col min="15900" max="15900" width="4.90625" style="1" bestFit="1" customWidth="1"/>
    <col min="15901" max="15901" width="2.453125" style="1" customWidth="1"/>
    <col min="15902" max="15902" width="4.54296875" style="1" customWidth="1"/>
    <col min="15903" max="16135" width="2.453125" style="1" customWidth="1"/>
    <col min="16136" max="16136" width="3.08984375" style="1" customWidth="1"/>
    <col min="16137" max="16137" width="3.453125" style="1" customWidth="1"/>
    <col min="16138" max="16138" width="45.54296875" style="1" customWidth="1"/>
    <col min="16139" max="16139" width="8.08984375" style="1" customWidth="1"/>
    <col min="16140" max="16140" width="9.08984375" style="1" bestFit="1" customWidth="1"/>
    <col min="16141" max="16141" width="40.54296875" style="1" customWidth="1"/>
    <col min="16142" max="16148" width="12.90625" style="1" customWidth="1"/>
    <col min="16149" max="16149" width="13.08984375" style="1" customWidth="1"/>
    <col min="16150" max="16150" width="48.08984375" style="1" customWidth="1"/>
    <col min="16151" max="16151" width="4.08984375" style="1" customWidth="1"/>
    <col min="16152" max="16152" width="2.453125" style="1" customWidth="1"/>
    <col min="16153" max="16153" width="4.54296875" style="1" bestFit="1" customWidth="1"/>
    <col min="16154" max="16154" width="8.08984375" style="1" bestFit="1" customWidth="1"/>
    <col min="16155" max="16155" width="5.453125" style="1" bestFit="1" customWidth="1"/>
    <col min="16156" max="16156" width="4.90625" style="1" bestFit="1" customWidth="1"/>
    <col min="16157" max="16157" width="2.453125" style="1" customWidth="1"/>
    <col min="16158" max="16158" width="4.54296875" style="1" customWidth="1"/>
    <col min="16159" max="16384" width="2.453125" style="1" customWidth="1"/>
  </cols>
  <sheetData>
    <row r="1" spans="2:25" ht="15" customHeight="1" thickBot="1"/>
    <row r="2" spans="2:25" ht="25.25" customHeight="1" thickBot="1">
      <c r="B2" s="316" t="str">
        <f ca="1">見積総額!B2&amp;"　" &amp; RIGHT(CELL("filename", A1), LEN(CELL("filename", A1))-FIND("]",CELL("filename", A1)))</f>
        <v>Sample Project　詳細設計～システムテスト 本番移行</v>
      </c>
      <c r="C2" s="313"/>
      <c r="D2" s="313"/>
      <c r="E2" s="313"/>
      <c r="F2" s="313"/>
      <c r="G2" s="313"/>
      <c r="H2" s="313"/>
      <c r="I2" s="313"/>
      <c r="J2" s="313"/>
      <c r="K2" s="313"/>
      <c r="L2" s="313"/>
      <c r="M2" s="313"/>
      <c r="N2" s="313"/>
      <c r="O2" s="313"/>
      <c r="P2" s="313"/>
      <c r="Q2" s="313"/>
      <c r="R2" s="313"/>
      <c r="S2" s="313"/>
      <c r="T2" s="313"/>
      <c r="U2" s="313"/>
      <c r="V2" s="314"/>
    </row>
    <row r="3" spans="2:25" ht="14">
      <c r="V3" s="68" t="s">
        <v>60</v>
      </c>
    </row>
    <row r="4" spans="2:25" ht="15" customHeight="1" thickBot="1">
      <c r="I4" s="103"/>
      <c r="V4" s="175" t="s">
        <v>61</v>
      </c>
    </row>
    <row r="5" spans="2:25">
      <c r="B5" s="319" t="s">
        <v>62</v>
      </c>
      <c r="C5" s="346" t="s">
        <v>63</v>
      </c>
      <c r="D5" s="317" t="s">
        <v>64</v>
      </c>
      <c r="E5" s="346" t="s">
        <v>65</v>
      </c>
      <c r="F5" s="346" t="s">
        <v>66</v>
      </c>
      <c r="G5" s="346" t="s">
        <v>67</v>
      </c>
      <c r="H5" s="361" t="s">
        <v>68</v>
      </c>
      <c r="I5" s="329"/>
      <c r="J5" s="330" t="s">
        <v>69</v>
      </c>
      <c r="K5" s="331"/>
      <c r="L5" s="331"/>
      <c r="M5" s="332"/>
      <c r="N5" s="330" t="s">
        <v>70</v>
      </c>
      <c r="O5" s="331"/>
      <c r="P5" s="331"/>
      <c r="Q5" s="332"/>
      <c r="R5" s="330" t="s">
        <v>71</v>
      </c>
      <c r="S5" s="331"/>
      <c r="T5" s="331"/>
      <c r="U5" s="332"/>
      <c r="V5" s="359" t="s">
        <v>72</v>
      </c>
    </row>
    <row r="6" spans="2:25">
      <c r="B6" s="320"/>
      <c r="C6" s="318"/>
      <c r="D6" s="318"/>
      <c r="E6" s="318"/>
      <c r="F6" s="318"/>
      <c r="G6" s="318"/>
      <c r="H6" s="145" t="s">
        <v>73</v>
      </c>
      <c r="I6" s="335" t="s">
        <v>74</v>
      </c>
      <c r="J6" s="373" t="s">
        <v>24</v>
      </c>
      <c r="K6" s="337"/>
      <c r="L6" s="337"/>
      <c r="M6" s="338"/>
      <c r="N6" s="339" t="s">
        <v>75</v>
      </c>
      <c r="O6" s="337"/>
      <c r="P6" s="337"/>
      <c r="Q6" s="338"/>
      <c r="R6" s="339"/>
      <c r="S6" s="337"/>
      <c r="T6" s="337"/>
      <c r="U6" s="338"/>
      <c r="V6" s="341"/>
    </row>
    <row r="7" spans="2:25" ht="15" customHeight="1" thickBot="1">
      <c r="B7" s="321"/>
      <c r="C7" s="306"/>
      <c r="D7" s="306"/>
      <c r="E7" s="306"/>
      <c r="F7" s="306"/>
      <c r="G7" s="306"/>
      <c r="H7" s="146" t="s">
        <v>76</v>
      </c>
      <c r="I7" s="323"/>
      <c r="J7" s="144" t="s">
        <v>46</v>
      </c>
      <c r="K7" s="144" t="s">
        <v>48</v>
      </c>
      <c r="L7" s="144" t="s">
        <v>50</v>
      </c>
      <c r="M7" s="144" t="s">
        <v>51</v>
      </c>
      <c r="N7" s="144" t="s">
        <v>46</v>
      </c>
      <c r="O7" s="144" t="s">
        <v>48</v>
      </c>
      <c r="P7" s="144" t="s">
        <v>50</v>
      </c>
      <c r="Q7" s="144" t="s">
        <v>51</v>
      </c>
      <c r="R7" s="144" t="s">
        <v>46</v>
      </c>
      <c r="S7" s="144" t="s">
        <v>48</v>
      </c>
      <c r="T7" s="144" t="s">
        <v>50</v>
      </c>
      <c r="U7" s="144" t="s">
        <v>51</v>
      </c>
      <c r="V7" s="360"/>
    </row>
    <row r="8" spans="2:25" ht="15" customHeight="1" thickBot="1">
      <c r="B8" s="251"/>
      <c r="C8" s="180" t="s">
        <v>77</v>
      </c>
      <c r="D8" s="252"/>
      <c r="E8" s="180"/>
      <c r="F8" s="253"/>
      <c r="G8" s="253"/>
      <c r="H8" s="252"/>
      <c r="I8" s="252"/>
      <c r="J8" s="254"/>
      <c r="K8" s="254"/>
      <c r="L8" s="254"/>
      <c r="M8" s="254"/>
      <c r="N8" s="254"/>
      <c r="O8" s="254"/>
      <c r="P8" s="254"/>
      <c r="Q8" s="254"/>
      <c r="R8" s="254"/>
      <c r="S8" s="254"/>
      <c r="T8" s="254"/>
      <c r="U8" s="254"/>
      <c r="V8" s="255"/>
    </row>
    <row r="9" spans="2:25" ht="132" customHeight="1">
      <c r="B9" s="13">
        <v>1</v>
      </c>
      <c r="C9" s="19" t="s">
        <v>78</v>
      </c>
      <c r="D9" s="19" t="s">
        <v>79</v>
      </c>
      <c r="E9" s="37"/>
      <c r="F9" s="263" t="s">
        <v>80</v>
      </c>
      <c r="G9" s="263"/>
      <c r="H9" s="143" t="s">
        <v>81</v>
      </c>
      <c r="I9" s="19" t="s">
        <v>82</v>
      </c>
      <c r="J9" s="15">
        <f>VLOOKUP($F9,難易度別標準工数!$B$7:$G$10,3,FALSE)</f>
        <v>5</v>
      </c>
      <c r="K9" s="15">
        <f>VLOOKUP($F9,難易度別標準工数!$B$7:$G$10,4,FALSE)</f>
        <v>3</v>
      </c>
      <c r="L9" s="15">
        <f>VLOOKUP($F9,難易度別標準工数!$B$7:$G$10,5,FALSE)</f>
        <v>7</v>
      </c>
      <c r="M9" s="15">
        <f>VLOOKUP($F9,難易度別標準工数!$B$7:$G$10,6,FALSE)</f>
        <v>5</v>
      </c>
      <c r="N9" s="15"/>
      <c r="O9" s="15"/>
      <c r="P9" s="15"/>
      <c r="Q9" s="15"/>
      <c r="R9" s="183">
        <f t="shared" ref="R9:U13" si="0">J9+N9</f>
        <v>5</v>
      </c>
      <c r="S9" s="183">
        <f t="shared" si="0"/>
        <v>3</v>
      </c>
      <c r="T9" s="183">
        <f t="shared" si="0"/>
        <v>7</v>
      </c>
      <c r="U9" s="183">
        <f t="shared" si="0"/>
        <v>5</v>
      </c>
      <c r="V9" s="264"/>
      <c r="X9" s="271"/>
    </row>
    <row r="10" spans="2:25" ht="103.75" customHeight="1">
      <c r="B10" s="3">
        <v>2</v>
      </c>
      <c r="C10" s="21" t="s">
        <v>83</v>
      </c>
      <c r="D10" s="21" t="s">
        <v>84</v>
      </c>
      <c r="E10" s="248"/>
      <c r="F10" s="249" t="s">
        <v>85</v>
      </c>
      <c r="G10" s="249"/>
      <c r="H10" s="250" t="s">
        <v>86</v>
      </c>
      <c r="I10" s="21" t="s">
        <v>87</v>
      </c>
      <c r="J10" s="262">
        <f>VLOOKUP($F10,難易度別標準工数!$B$7:$G$10,3,FALSE)</f>
        <v>3</v>
      </c>
      <c r="K10" s="262">
        <f>VLOOKUP($F10,難易度別標準工数!$B$7:$G$10,4,FALSE)</f>
        <v>1.5</v>
      </c>
      <c r="L10" s="262">
        <f>VLOOKUP($F10,難易度別標準工数!$B$7:$G$10,5,FALSE)</f>
        <v>4.5</v>
      </c>
      <c r="M10" s="262">
        <f>VLOOKUP($F10,難易度別標準工数!$B$7:$G$10,6,FALSE)</f>
        <v>3</v>
      </c>
      <c r="N10" s="262"/>
      <c r="O10" s="262"/>
      <c r="P10" s="262"/>
      <c r="Q10" s="262">
        <v>-1</v>
      </c>
      <c r="R10" s="280">
        <f t="shared" si="0"/>
        <v>3</v>
      </c>
      <c r="S10" s="280">
        <f t="shared" si="0"/>
        <v>1.5</v>
      </c>
      <c r="T10" s="280">
        <f t="shared" si="0"/>
        <v>4.5</v>
      </c>
      <c r="U10" s="280">
        <f t="shared" si="0"/>
        <v>2</v>
      </c>
      <c r="V10" s="265"/>
      <c r="W10" s="271"/>
      <c r="X10" s="271"/>
      <c r="Y10" s="271"/>
    </row>
    <row r="11" spans="2:25" ht="100.25" customHeight="1">
      <c r="B11" s="3">
        <v>3</v>
      </c>
      <c r="C11" s="21" t="s">
        <v>88</v>
      </c>
      <c r="D11" s="21" t="s">
        <v>89</v>
      </c>
      <c r="E11" s="248"/>
      <c r="F11" s="249" t="s">
        <v>90</v>
      </c>
      <c r="G11" s="249"/>
      <c r="H11" s="250" t="s">
        <v>91</v>
      </c>
      <c r="I11" s="21" t="s">
        <v>92</v>
      </c>
      <c r="J11" s="262">
        <f>VLOOKUP($F11,難易度別標準工数!$B$7:$G$10,3,FALSE)</f>
        <v>1</v>
      </c>
      <c r="K11" s="262">
        <f>VLOOKUP($F11,難易度別標準工数!$B$7:$G$10,4,FALSE)</f>
        <v>1</v>
      </c>
      <c r="L11" s="262">
        <f>VLOOKUP($F11,難易度別標準工数!$B$7:$G$10,5,FALSE)</f>
        <v>2</v>
      </c>
      <c r="M11" s="262">
        <f>VLOOKUP($F11,難易度別標準工数!$B$7:$G$10,6,FALSE)</f>
        <v>1</v>
      </c>
      <c r="N11" s="262"/>
      <c r="O11" s="262"/>
      <c r="P11" s="262">
        <v>1</v>
      </c>
      <c r="Q11" s="262"/>
      <c r="R11" s="280">
        <f t="shared" si="0"/>
        <v>1</v>
      </c>
      <c r="S11" s="280">
        <f t="shared" si="0"/>
        <v>1</v>
      </c>
      <c r="T11" s="280">
        <f t="shared" si="0"/>
        <v>3</v>
      </c>
      <c r="U11" s="280">
        <f t="shared" si="0"/>
        <v>1</v>
      </c>
      <c r="V11" s="265"/>
      <c r="X11" s="271"/>
      <c r="Y11" s="271"/>
    </row>
    <row r="12" spans="2:25" s="272" customFormat="1" ht="73.25" customHeight="1">
      <c r="B12" s="3">
        <v>4</v>
      </c>
      <c r="C12" s="21" t="s">
        <v>93</v>
      </c>
      <c r="D12" s="21" t="s">
        <v>94</v>
      </c>
      <c r="E12" s="273"/>
      <c r="F12" s="249" t="s">
        <v>80</v>
      </c>
      <c r="G12" s="249"/>
      <c r="H12" s="250" t="s">
        <v>95</v>
      </c>
      <c r="I12" s="21" t="s">
        <v>96</v>
      </c>
      <c r="J12" s="262">
        <f>VLOOKUP($F12,難易度別標準工数!$B$7:$G$10,3,FALSE)</f>
        <v>5</v>
      </c>
      <c r="K12" s="262">
        <f>VLOOKUP($F12,難易度別標準工数!$B$7:$G$10,4,FALSE)</f>
        <v>3</v>
      </c>
      <c r="L12" s="262">
        <f>VLOOKUP($F12,難易度別標準工数!$B$7:$G$10,5,FALSE)</f>
        <v>7</v>
      </c>
      <c r="M12" s="262">
        <f>VLOOKUP($F12,難易度別標準工数!$B$7:$G$10,6,FALSE)</f>
        <v>5</v>
      </c>
      <c r="N12" s="262"/>
      <c r="O12" s="262"/>
      <c r="P12" s="262"/>
      <c r="Q12" s="262"/>
      <c r="R12" s="280">
        <f t="shared" si="0"/>
        <v>5</v>
      </c>
      <c r="S12" s="280">
        <f t="shared" si="0"/>
        <v>3</v>
      </c>
      <c r="T12" s="280">
        <f t="shared" si="0"/>
        <v>7</v>
      </c>
      <c r="U12" s="280">
        <f t="shared" si="0"/>
        <v>5</v>
      </c>
      <c r="V12" s="265"/>
      <c r="X12" s="271"/>
      <c r="Y12" s="277"/>
    </row>
    <row r="13" spans="2:25" ht="120.65" customHeight="1">
      <c r="B13" s="3">
        <v>5</v>
      </c>
      <c r="C13" s="44" t="s">
        <v>97</v>
      </c>
      <c r="D13" s="44" t="s">
        <v>98</v>
      </c>
      <c r="E13" s="55"/>
      <c r="F13" s="284" t="s">
        <v>85</v>
      </c>
      <c r="G13" s="284"/>
      <c r="H13" s="285" t="s">
        <v>99</v>
      </c>
      <c r="I13" s="44" t="s">
        <v>100</v>
      </c>
      <c r="J13" s="262">
        <f>VLOOKUP($F13,難易度別標準工数!$B$7:$G$10,3,FALSE)</f>
        <v>3</v>
      </c>
      <c r="K13" s="262">
        <f>VLOOKUP($F13,難易度別標準工数!$B$7:$G$10,4,FALSE)</f>
        <v>1.5</v>
      </c>
      <c r="L13" s="262">
        <f>VLOOKUP($F13,難易度別標準工数!$B$7:$G$10,5,FALSE)</f>
        <v>4.5</v>
      </c>
      <c r="M13" s="262">
        <f>VLOOKUP($F13,難易度別標準工数!$B$7:$G$10,6,FALSE)</f>
        <v>3</v>
      </c>
      <c r="N13" s="262"/>
      <c r="O13" s="262"/>
      <c r="P13" s="262"/>
      <c r="Q13" s="262">
        <v>-1</v>
      </c>
      <c r="R13" s="280">
        <f t="shared" si="0"/>
        <v>3</v>
      </c>
      <c r="S13" s="280">
        <f t="shared" si="0"/>
        <v>1.5</v>
      </c>
      <c r="T13" s="280">
        <f t="shared" si="0"/>
        <v>4.5</v>
      </c>
      <c r="U13" s="280">
        <f t="shared" si="0"/>
        <v>2</v>
      </c>
      <c r="V13" s="269"/>
      <c r="X13" s="271"/>
      <c r="Y13" s="271"/>
    </row>
    <row r="14" spans="2:25" ht="16.25" customHeight="1" thickBot="1">
      <c r="B14" s="43"/>
      <c r="C14" s="44"/>
      <c r="D14" s="44"/>
      <c r="E14" s="55"/>
      <c r="F14" s="284"/>
      <c r="G14" s="284"/>
      <c r="H14" s="285"/>
      <c r="I14" s="44"/>
      <c r="J14" s="262"/>
      <c r="K14" s="262"/>
      <c r="L14" s="262"/>
      <c r="M14" s="262"/>
      <c r="N14" s="262"/>
      <c r="O14" s="262"/>
      <c r="P14" s="262"/>
      <c r="Q14" s="262"/>
      <c r="R14" s="280"/>
      <c r="S14" s="280"/>
      <c r="T14" s="280"/>
      <c r="U14" s="280"/>
      <c r="V14" s="269"/>
      <c r="Y14" s="271"/>
    </row>
    <row r="15" spans="2:25" ht="16.25" customHeight="1" thickBot="1">
      <c r="B15" s="8"/>
      <c r="C15" s="22"/>
      <c r="D15" s="22"/>
      <c r="E15" s="38"/>
      <c r="F15" s="266"/>
      <c r="G15" s="266"/>
      <c r="H15" s="267"/>
      <c r="I15" s="22"/>
      <c r="J15" s="15"/>
      <c r="K15" s="15"/>
      <c r="L15" s="15"/>
      <c r="M15" s="15"/>
      <c r="N15" s="15"/>
      <c r="O15" s="15"/>
      <c r="P15" s="15"/>
      <c r="Q15" s="15"/>
      <c r="R15" s="183"/>
      <c r="S15" s="183"/>
      <c r="T15" s="183"/>
      <c r="U15" s="183"/>
      <c r="V15" s="268"/>
      <c r="Y15" s="271"/>
    </row>
    <row r="16" spans="2:25" ht="15" customHeight="1" thickBot="1">
      <c r="B16" s="256"/>
      <c r="C16" s="181"/>
      <c r="D16" s="257"/>
      <c r="E16" s="181"/>
      <c r="F16" s="258"/>
      <c r="G16" s="258"/>
      <c r="H16" s="257"/>
      <c r="I16" s="257"/>
      <c r="J16" s="259"/>
      <c r="K16" s="259"/>
      <c r="L16" s="259"/>
      <c r="M16" s="259"/>
      <c r="N16" s="259"/>
      <c r="O16" s="259"/>
      <c r="P16" s="259"/>
      <c r="Q16" s="259"/>
      <c r="R16" s="260"/>
      <c r="S16" s="260"/>
      <c r="T16" s="260"/>
      <c r="U16" s="260"/>
      <c r="V16" s="261"/>
      <c r="Y16" s="271"/>
    </row>
    <row r="17" spans="1:25">
      <c r="A17" s="18"/>
      <c r="B17" s="2">
        <v>1</v>
      </c>
      <c r="C17" s="60"/>
      <c r="D17" s="82"/>
      <c r="E17" s="7"/>
      <c r="F17" s="59"/>
      <c r="G17" s="59"/>
      <c r="H17" s="82"/>
      <c r="I17" s="20"/>
      <c r="J17" s="61"/>
      <c r="K17" s="62"/>
      <c r="L17" s="62"/>
      <c r="M17" s="63"/>
      <c r="N17" s="61"/>
      <c r="O17" s="62"/>
      <c r="P17" s="62"/>
      <c r="Q17" s="63"/>
      <c r="R17" s="182">
        <f t="shared" ref="R17:U18" si="1">J17+N17</f>
        <v>0</v>
      </c>
      <c r="S17" s="183">
        <f t="shared" si="1"/>
        <v>0</v>
      </c>
      <c r="T17" s="183">
        <f t="shared" si="1"/>
        <v>0</v>
      </c>
      <c r="U17" s="184">
        <f t="shared" si="1"/>
        <v>0</v>
      </c>
      <c r="V17" s="29"/>
      <c r="Y17" s="271"/>
    </row>
    <row r="18" spans="1:25" ht="15.65" customHeight="1">
      <c r="A18" s="18"/>
      <c r="B18" s="2">
        <v>2</v>
      </c>
      <c r="C18" s="64"/>
      <c r="D18" s="5"/>
      <c r="E18" s="6"/>
      <c r="F18" s="362"/>
      <c r="G18" s="362"/>
      <c r="H18" s="352"/>
      <c r="I18" s="363"/>
      <c r="J18" s="353"/>
      <c r="K18" s="372"/>
      <c r="L18" s="372"/>
      <c r="M18" s="340"/>
      <c r="N18" s="367"/>
      <c r="O18" s="322"/>
      <c r="P18" s="322"/>
      <c r="Q18" s="340"/>
      <c r="R18" s="366">
        <f t="shared" si="1"/>
        <v>0</v>
      </c>
      <c r="S18" s="343">
        <f t="shared" si="1"/>
        <v>0</v>
      </c>
      <c r="T18" s="343">
        <f t="shared" si="1"/>
        <v>0</v>
      </c>
      <c r="U18" s="365">
        <f t="shared" si="1"/>
        <v>0</v>
      </c>
      <c r="V18" s="29"/>
      <c r="Y18" s="271"/>
    </row>
    <row r="19" spans="1:25" ht="15.65" customHeight="1">
      <c r="A19" s="18"/>
      <c r="B19" s="2">
        <v>3</v>
      </c>
      <c r="C19" s="64"/>
      <c r="D19" s="5"/>
      <c r="E19" s="7"/>
      <c r="F19" s="318"/>
      <c r="G19" s="318"/>
      <c r="H19" s="318"/>
      <c r="I19" s="341"/>
      <c r="J19" s="320"/>
      <c r="K19" s="318"/>
      <c r="L19" s="318"/>
      <c r="M19" s="341"/>
      <c r="N19" s="320"/>
      <c r="O19" s="318"/>
      <c r="P19" s="318"/>
      <c r="Q19" s="341"/>
      <c r="R19" s="320"/>
      <c r="S19" s="318"/>
      <c r="T19" s="318"/>
      <c r="U19" s="341"/>
      <c r="V19" s="29"/>
      <c r="Y19" s="271"/>
    </row>
    <row r="20" spans="1:25" ht="15.65" customHeight="1">
      <c r="A20" s="18"/>
      <c r="B20" s="2">
        <v>4</v>
      </c>
      <c r="C20" s="64"/>
      <c r="D20" s="5"/>
      <c r="E20" s="7"/>
      <c r="F20" s="318"/>
      <c r="G20" s="318"/>
      <c r="H20" s="318"/>
      <c r="I20" s="341"/>
      <c r="J20" s="320"/>
      <c r="K20" s="318"/>
      <c r="L20" s="318"/>
      <c r="M20" s="341"/>
      <c r="N20" s="320"/>
      <c r="O20" s="318"/>
      <c r="P20" s="318"/>
      <c r="Q20" s="341"/>
      <c r="R20" s="320"/>
      <c r="S20" s="318"/>
      <c r="T20" s="318"/>
      <c r="U20" s="341"/>
      <c r="V20" s="29"/>
      <c r="Y20" s="271"/>
    </row>
    <row r="21" spans="1:25" ht="15.65" customHeight="1">
      <c r="A21" s="18"/>
      <c r="B21" s="2">
        <v>5</v>
      </c>
      <c r="C21" s="64"/>
      <c r="D21" s="5"/>
      <c r="E21" s="7"/>
      <c r="F21" s="318"/>
      <c r="G21" s="318"/>
      <c r="H21" s="318"/>
      <c r="I21" s="341"/>
      <c r="J21" s="320"/>
      <c r="K21" s="318"/>
      <c r="L21" s="318"/>
      <c r="M21" s="341"/>
      <c r="N21" s="320"/>
      <c r="O21" s="318"/>
      <c r="P21" s="318"/>
      <c r="Q21" s="341"/>
      <c r="R21" s="320"/>
      <c r="S21" s="318"/>
      <c r="T21" s="318"/>
      <c r="U21" s="341"/>
      <c r="V21" s="29"/>
      <c r="Y21" s="271"/>
    </row>
    <row r="22" spans="1:25" ht="15" customHeight="1" thickBot="1">
      <c r="A22" s="18"/>
      <c r="B22" s="2">
        <v>6</v>
      </c>
      <c r="C22" s="57"/>
      <c r="D22" s="12"/>
      <c r="E22" s="58"/>
      <c r="F22" s="323"/>
      <c r="G22" s="323"/>
      <c r="H22" s="323"/>
      <c r="I22" s="342"/>
      <c r="J22" s="354"/>
      <c r="K22" s="323"/>
      <c r="L22" s="323"/>
      <c r="M22" s="342"/>
      <c r="N22" s="354"/>
      <c r="O22" s="323"/>
      <c r="P22" s="323"/>
      <c r="Q22" s="342"/>
      <c r="R22" s="321"/>
      <c r="S22" s="306"/>
      <c r="T22" s="306"/>
      <c r="U22" s="360"/>
      <c r="V22" s="29"/>
      <c r="Y22" s="271"/>
    </row>
    <row r="23" spans="1:25" ht="15" customHeight="1" thickBot="1">
      <c r="B23" s="71"/>
      <c r="C23" s="75" t="s">
        <v>101</v>
      </c>
      <c r="D23" s="74"/>
      <c r="E23" s="75"/>
      <c r="F23" s="73"/>
      <c r="G23" s="73"/>
      <c r="H23" s="74"/>
      <c r="I23" s="74"/>
      <c r="J23" s="76"/>
      <c r="K23" s="76"/>
      <c r="L23" s="76"/>
      <c r="M23" s="76"/>
      <c r="N23" s="76"/>
      <c r="O23" s="76"/>
      <c r="P23" s="76"/>
      <c r="Q23" s="76"/>
      <c r="R23" s="185"/>
      <c r="S23" s="185"/>
      <c r="T23" s="185"/>
      <c r="U23" s="185"/>
      <c r="V23" s="77"/>
      <c r="Y23" s="271"/>
    </row>
    <row r="24" spans="1:25" ht="43.25" customHeight="1">
      <c r="A24" s="18"/>
      <c r="B24" s="13">
        <f>B16+1</f>
        <v>1</v>
      </c>
      <c r="C24" s="37" t="s">
        <v>102</v>
      </c>
      <c r="D24" s="83" t="s">
        <v>103</v>
      </c>
      <c r="E24" s="49"/>
      <c r="F24" s="41"/>
      <c r="G24" s="41"/>
      <c r="H24" s="83"/>
      <c r="I24" s="20"/>
      <c r="J24" s="14"/>
      <c r="K24" s="15">
        <v>2</v>
      </c>
      <c r="L24" s="15"/>
      <c r="M24" s="42"/>
      <c r="N24" s="14"/>
      <c r="O24" s="15"/>
      <c r="P24" s="15">
        <v>1</v>
      </c>
      <c r="Q24" s="42"/>
      <c r="R24" s="182">
        <f>J24+N24</f>
        <v>0</v>
      </c>
      <c r="S24" s="183">
        <f>K24+N24</f>
        <v>2</v>
      </c>
      <c r="T24" s="183">
        <f>L24+O24</f>
        <v>0</v>
      </c>
      <c r="U24" s="184">
        <f>M24+Q24</f>
        <v>0</v>
      </c>
      <c r="V24" s="48"/>
      <c r="Y24" s="271"/>
    </row>
    <row r="25" spans="1:25" ht="15" customHeight="1" thickBot="1">
      <c r="A25" s="18"/>
      <c r="B25" s="8">
        <v>2</v>
      </c>
      <c r="C25" s="38"/>
      <c r="D25" s="12"/>
      <c r="E25" s="189"/>
      <c r="F25" s="40"/>
      <c r="G25" s="40"/>
      <c r="H25" s="22"/>
      <c r="I25" s="23"/>
      <c r="J25" s="16"/>
      <c r="K25" s="17"/>
      <c r="L25" s="17"/>
      <c r="M25" s="36"/>
      <c r="N25" s="16"/>
      <c r="O25" s="17"/>
      <c r="P25" s="17"/>
      <c r="Q25" s="36"/>
      <c r="R25" s="283">
        <f>J25+N25</f>
        <v>0</v>
      </c>
      <c r="S25" s="283">
        <f>K25+O25</f>
        <v>0</v>
      </c>
      <c r="T25" s="281">
        <f>L25+O25</f>
        <v>0</v>
      </c>
      <c r="U25" s="282">
        <f>M25+Q25</f>
        <v>0</v>
      </c>
      <c r="V25" s="28"/>
      <c r="Y25" s="271"/>
    </row>
    <row r="26" spans="1:25" ht="15" customHeight="1" thickBot="1">
      <c r="C26" s="9"/>
      <c r="D26" s="9"/>
      <c r="E26" s="9"/>
      <c r="F26" s="9"/>
      <c r="G26" s="9"/>
      <c r="H26" s="9"/>
      <c r="I26" s="150" t="s">
        <v>104</v>
      </c>
      <c r="J26" s="30">
        <f t="shared" ref="J26:U26" si="2">SUM(J8:J25)</f>
        <v>17</v>
      </c>
      <c r="K26" s="31">
        <f t="shared" si="2"/>
        <v>12</v>
      </c>
      <c r="L26" s="31">
        <f t="shared" si="2"/>
        <v>25</v>
      </c>
      <c r="M26" s="32">
        <f t="shared" si="2"/>
        <v>17</v>
      </c>
      <c r="N26" s="30">
        <f t="shared" si="2"/>
        <v>0</v>
      </c>
      <c r="O26" s="31">
        <f t="shared" si="2"/>
        <v>0</v>
      </c>
      <c r="P26" s="31">
        <f t="shared" si="2"/>
        <v>2</v>
      </c>
      <c r="Q26" s="32">
        <f t="shared" si="2"/>
        <v>-2</v>
      </c>
      <c r="R26" s="30">
        <f t="shared" si="2"/>
        <v>17</v>
      </c>
      <c r="S26" s="31">
        <f t="shared" si="2"/>
        <v>12</v>
      </c>
      <c r="T26" s="31">
        <f t="shared" si="2"/>
        <v>26</v>
      </c>
      <c r="U26" s="32">
        <f t="shared" si="2"/>
        <v>15</v>
      </c>
      <c r="V26" s="9"/>
      <c r="W26" s="9"/>
      <c r="Y26" s="271"/>
    </row>
    <row r="27" spans="1:25" ht="15" customHeight="1" thickBot="1">
      <c r="C27" s="9"/>
      <c r="D27" s="9"/>
      <c r="E27" s="9"/>
      <c r="F27" s="9"/>
      <c r="G27" s="9"/>
      <c r="H27" s="9"/>
      <c r="V27" s="9"/>
      <c r="W27" s="9"/>
      <c r="Y27" s="271"/>
    </row>
    <row r="28" spans="1:25">
      <c r="B28" s="319" t="s">
        <v>62</v>
      </c>
      <c r="C28" s="346" t="s">
        <v>63</v>
      </c>
      <c r="D28" s="317" t="s">
        <v>64</v>
      </c>
      <c r="E28" s="346" t="s">
        <v>65</v>
      </c>
      <c r="F28" s="346" t="s">
        <v>66</v>
      </c>
      <c r="G28" s="346" t="s">
        <v>67</v>
      </c>
      <c r="H28" s="361" t="s">
        <v>68</v>
      </c>
      <c r="I28" s="329"/>
      <c r="J28" s="336" t="s">
        <v>69</v>
      </c>
      <c r="K28" s="331"/>
      <c r="L28" s="331"/>
      <c r="M28" s="332"/>
      <c r="N28" s="336" t="s">
        <v>70</v>
      </c>
      <c r="O28" s="331"/>
      <c r="P28" s="331"/>
      <c r="Q28" s="332"/>
      <c r="R28" s="336" t="s">
        <v>71</v>
      </c>
      <c r="S28" s="331"/>
      <c r="T28" s="331"/>
      <c r="U28" s="332"/>
      <c r="V28" s="359" t="s">
        <v>72</v>
      </c>
      <c r="Y28" s="271"/>
    </row>
    <row r="29" spans="1:25">
      <c r="B29" s="320"/>
      <c r="C29" s="318"/>
      <c r="D29" s="318"/>
      <c r="E29" s="318"/>
      <c r="F29" s="318"/>
      <c r="G29" s="318"/>
      <c r="H29" s="145" t="s">
        <v>73</v>
      </c>
      <c r="I29" s="335" t="s">
        <v>105</v>
      </c>
      <c r="J29" s="309"/>
      <c r="K29" s="337"/>
      <c r="L29" s="337"/>
      <c r="M29" s="338"/>
      <c r="N29" s="309"/>
      <c r="O29" s="337"/>
      <c r="P29" s="337"/>
      <c r="Q29" s="338"/>
      <c r="R29" s="309"/>
      <c r="S29" s="337"/>
      <c r="T29" s="337"/>
      <c r="U29" s="338"/>
      <c r="V29" s="341"/>
      <c r="Y29" s="271"/>
    </row>
    <row r="30" spans="1:25" ht="27" customHeight="1" thickBot="1">
      <c r="B30" s="321"/>
      <c r="C30" s="306"/>
      <c r="D30" s="306"/>
      <c r="E30" s="306"/>
      <c r="F30" s="306"/>
      <c r="G30" s="306"/>
      <c r="H30" s="146" t="s">
        <v>76</v>
      </c>
      <c r="I30" s="323"/>
      <c r="J30" s="191"/>
      <c r="K30" s="191"/>
      <c r="L30" s="191"/>
      <c r="M30" s="191"/>
      <c r="N30" s="191"/>
      <c r="O30" s="191"/>
      <c r="P30" s="191"/>
      <c r="Q30" s="191"/>
      <c r="R30" s="333" t="s">
        <v>106</v>
      </c>
      <c r="S30" s="325"/>
      <c r="T30" s="325"/>
      <c r="U30" s="334"/>
      <c r="V30" s="360"/>
      <c r="Y30" s="271"/>
    </row>
    <row r="31" spans="1:25" ht="15" customHeight="1" thickBot="1">
      <c r="B31" s="71"/>
      <c r="C31" s="72" t="s">
        <v>107</v>
      </c>
      <c r="D31" s="74"/>
      <c r="E31" s="72"/>
      <c r="F31" s="73"/>
      <c r="G31" s="73"/>
      <c r="H31" s="74"/>
      <c r="I31" s="74"/>
      <c r="J31" s="76"/>
      <c r="K31" s="76"/>
      <c r="L31" s="76"/>
      <c r="M31" s="76"/>
      <c r="N31" s="76"/>
      <c r="O31" s="76"/>
      <c r="P31" s="76"/>
      <c r="Q31" s="76"/>
      <c r="R31" s="76"/>
      <c r="S31" s="76"/>
      <c r="T31" s="76"/>
      <c r="U31" s="76"/>
      <c r="V31" s="77"/>
      <c r="Y31" s="271"/>
    </row>
    <row r="32" spans="1:25" ht="40.25" customHeight="1">
      <c r="A32" s="18"/>
      <c r="B32" s="3">
        <v>1</v>
      </c>
      <c r="C32" s="50" t="s">
        <v>108</v>
      </c>
      <c r="D32" s="21"/>
      <c r="E32" s="186"/>
      <c r="F32" s="41"/>
      <c r="G32" s="41"/>
      <c r="H32" s="83" t="s">
        <v>109</v>
      </c>
      <c r="I32" s="4"/>
      <c r="J32" s="192"/>
      <c r="K32" s="193"/>
      <c r="L32" s="193"/>
      <c r="M32" s="194"/>
      <c r="N32" s="192"/>
      <c r="O32" s="193"/>
      <c r="P32" s="193"/>
      <c r="Q32" s="194"/>
      <c r="R32" s="347">
        <f>2/8</f>
        <v>0.25</v>
      </c>
      <c r="S32" s="328"/>
      <c r="T32" s="328"/>
      <c r="U32" s="348"/>
      <c r="V32" s="48"/>
      <c r="Y32" s="271"/>
    </row>
    <row r="33" spans="1:22" ht="15.65" customHeight="1">
      <c r="A33" s="18"/>
      <c r="B33" s="3">
        <v>2</v>
      </c>
      <c r="C33" s="51"/>
      <c r="D33" s="21"/>
      <c r="E33" s="187"/>
      <c r="F33" s="39"/>
      <c r="G33" s="39"/>
      <c r="H33" s="5" t="s">
        <v>110</v>
      </c>
      <c r="I33" s="4"/>
      <c r="J33" s="195"/>
      <c r="K33" s="196"/>
      <c r="L33" s="196"/>
      <c r="M33" s="197"/>
      <c r="N33" s="195"/>
      <c r="O33" s="196"/>
      <c r="P33" s="196"/>
      <c r="Q33" s="197"/>
      <c r="R33" s="344">
        <f>10/8</f>
        <v>1.25</v>
      </c>
      <c r="S33" s="311"/>
      <c r="T33" s="311"/>
      <c r="U33" s="345"/>
      <c r="V33" s="27"/>
    </row>
    <row r="34" spans="1:22" ht="15.65" customHeight="1">
      <c r="A34" s="18"/>
      <c r="B34" s="3">
        <v>3</v>
      </c>
      <c r="C34" s="33"/>
      <c r="D34" s="21"/>
      <c r="E34" s="187"/>
      <c r="F34" s="39"/>
      <c r="G34" s="39"/>
      <c r="H34" s="5"/>
      <c r="I34" s="4"/>
      <c r="J34" s="195"/>
      <c r="K34" s="196"/>
      <c r="L34" s="196"/>
      <c r="M34" s="197"/>
      <c r="N34" s="195"/>
      <c r="O34" s="196"/>
      <c r="P34" s="196"/>
      <c r="Q34" s="197"/>
      <c r="R34" s="344"/>
      <c r="S34" s="311"/>
      <c r="T34" s="311"/>
      <c r="U34" s="345"/>
      <c r="V34" s="27"/>
    </row>
    <row r="35" spans="1:22" ht="15.65" customHeight="1">
      <c r="A35" s="18"/>
      <c r="B35" s="3">
        <v>4</v>
      </c>
      <c r="C35" s="44"/>
      <c r="D35" s="21"/>
      <c r="E35" s="187"/>
      <c r="F35" s="39"/>
      <c r="G35" s="39"/>
      <c r="H35" s="5"/>
      <c r="I35" s="4"/>
      <c r="J35" s="195"/>
      <c r="K35" s="196"/>
      <c r="L35" s="196"/>
      <c r="M35" s="197"/>
      <c r="N35" s="195"/>
      <c r="O35" s="196"/>
      <c r="P35" s="196"/>
      <c r="Q35" s="197"/>
      <c r="R35" s="344"/>
      <c r="S35" s="311"/>
      <c r="T35" s="311"/>
      <c r="U35" s="345"/>
      <c r="V35" s="27"/>
    </row>
    <row r="36" spans="1:22" ht="15.65" customHeight="1">
      <c r="A36" s="18"/>
      <c r="B36" s="43">
        <v>5</v>
      </c>
      <c r="C36" s="51"/>
      <c r="D36" s="44"/>
      <c r="E36" s="187"/>
      <c r="F36" s="39"/>
      <c r="G36" s="39"/>
      <c r="H36" s="5"/>
      <c r="I36" s="45"/>
      <c r="J36" s="195"/>
      <c r="K36" s="196"/>
      <c r="L36" s="196"/>
      <c r="M36" s="197"/>
      <c r="N36" s="195"/>
      <c r="O36" s="196"/>
      <c r="P36" s="196"/>
      <c r="Q36" s="197"/>
      <c r="R36" s="344"/>
      <c r="S36" s="311"/>
      <c r="T36" s="311"/>
      <c r="U36" s="345"/>
      <c r="V36" s="27"/>
    </row>
    <row r="37" spans="1:22" ht="15.65" customHeight="1">
      <c r="A37" s="18"/>
      <c r="B37" s="43">
        <v>6</v>
      </c>
      <c r="C37" s="51"/>
      <c r="D37" s="44"/>
      <c r="E37" s="187"/>
      <c r="F37" s="39"/>
      <c r="G37" s="39"/>
      <c r="H37" s="5"/>
      <c r="I37" s="45"/>
      <c r="J37" s="195"/>
      <c r="K37" s="196"/>
      <c r="L37" s="196"/>
      <c r="M37" s="197"/>
      <c r="N37" s="195"/>
      <c r="O37" s="196"/>
      <c r="P37" s="196"/>
      <c r="Q37" s="197"/>
      <c r="R37" s="344"/>
      <c r="S37" s="311"/>
      <c r="T37" s="311"/>
      <c r="U37" s="345"/>
      <c r="V37" s="27"/>
    </row>
    <row r="38" spans="1:22" ht="15.65" customHeight="1">
      <c r="A38" s="18"/>
      <c r="B38" s="3">
        <v>7</v>
      </c>
      <c r="C38" s="44"/>
      <c r="D38" s="21"/>
      <c r="E38" s="187"/>
      <c r="F38" s="39"/>
      <c r="G38" s="39"/>
      <c r="H38" s="5"/>
      <c r="I38" s="4"/>
      <c r="J38" s="195"/>
      <c r="K38" s="196"/>
      <c r="L38" s="196"/>
      <c r="M38" s="197"/>
      <c r="N38" s="195"/>
      <c r="O38" s="196"/>
      <c r="P38" s="196"/>
      <c r="Q38" s="197"/>
      <c r="R38" s="344"/>
      <c r="S38" s="311"/>
      <c r="T38" s="311"/>
      <c r="U38" s="345"/>
      <c r="V38" s="27"/>
    </row>
    <row r="39" spans="1:22" ht="15.65" customHeight="1" thickBot="1">
      <c r="A39" s="18"/>
      <c r="B39" s="43">
        <v>8</v>
      </c>
      <c r="C39" s="51"/>
      <c r="D39" s="44"/>
      <c r="E39" s="46"/>
      <c r="F39" s="40"/>
      <c r="G39" s="40"/>
      <c r="H39" s="22"/>
      <c r="I39" s="23"/>
      <c r="J39" s="198"/>
      <c r="K39" s="199"/>
      <c r="L39" s="199"/>
      <c r="M39" s="200"/>
      <c r="N39" s="198"/>
      <c r="O39" s="199"/>
      <c r="P39" s="199"/>
      <c r="Q39" s="200"/>
      <c r="R39" s="324"/>
      <c r="S39" s="325"/>
      <c r="T39" s="325"/>
      <c r="U39" s="326"/>
      <c r="V39" s="27"/>
    </row>
    <row r="40" spans="1:22" ht="15" customHeight="1" thickBot="1">
      <c r="B40" s="71"/>
      <c r="C40" s="72" t="s">
        <v>111</v>
      </c>
      <c r="D40" s="74"/>
      <c r="E40" s="72"/>
      <c r="F40" s="73"/>
      <c r="G40" s="73"/>
      <c r="H40" s="74"/>
      <c r="I40" s="74"/>
      <c r="J40" s="76"/>
      <c r="K40" s="76"/>
      <c r="L40" s="76"/>
      <c r="M40" s="76"/>
      <c r="N40" s="76"/>
      <c r="O40" s="76"/>
      <c r="P40" s="76"/>
      <c r="Q40" s="76"/>
      <c r="R40" s="76"/>
      <c r="S40" s="76"/>
      <c r="T40" s="76"/>
      <c r="U40" s="76"/>
      <c r="V40" s="77"/>
    </row>
    <row r="41" spans="1:22">
      <c r="A41" s="18"/>
      <c r="B41" s="3">
        <v>1</v>
      </c>
      <c r="C41" s="52"/>
      <c r="D41" s="19"/>
      <c r="E41" s="49"/>
      <c r="F41" s="41"/>
      <c r="G41" s="41"/>
      <c r="H41" s="19"/>
      <c r="I41" s="20"/>
      <c r="J41" s="192"/>
      <c r="K41" s="193"/>
      <c r="L41" s="193"/>
      <c r="M41" s="194"/>
      <c r="N41" s="192"/>
      <c r="O41" s="193"/>
      <c r="P41" s="193"/>
      <c r="Q41" s="194"/>
      <c r="R41" s="347"/>
      <c r="S41" s="328"/>
      <c r="T41" s="328"/>
      <c r="U41" s="348"/>
      <c r="V41" s="48"/>
    </row>
    <row r="42" spans="1:22">
      <c r="A42" s="18"/>
      <c r="B42" s="3">
        <v>2</v>
      </c>
      <c r="C42" s="53"/>
      <c r="D42" s="21"/>
      <c r="E42" s="188"/>
      <c r="F42" s="39"/>
      <c r="G42" s="39"/>
      <c r="H42" s="21"/>
      <c r="I42" s="4"/>
      <c r="J42" s="195"/>
      <c r="K42" s="196"/>
      <c r="L42" s="196"/>
      <c r="M42" s="197"/>
      <c r="N42" s="195"/>
      <c r="O42" s="196"/>
      <c r="P42" s="196"/>
      <c r="Q42" s="197"/>
      <c r="R42" s="344"/>
      <c r="S42" s="311"/>
      <c r="T42" s="311"/>
      <c r="U42" s="345"/>
      <c r="V42" s="27"/>
    </row>
    <row r="43" spans="1:22" ht="15" customHeight="1" thickBot="1">
      <c r="A43" s="18"/>
      <c r="B43" s="3">
        <v>3</v>
      </c>
      <c r="C43" s="54"/>
      <c r="D43" s="22"/>
      <c r="E43" s="189"/>
      <c r="F43" s="40"/>
      <c r="G43" s="39"/>
      <c r="H43" s="22"/>
      <c r="I43" s="23"/>
      <c r="J43" s="198"/>
      <c r="K43" s="199"/>
      <c r="L43" s="199"/>
      <c r="M43" s="200"/>
      <c r="N43" s="198"/>
      <c r="O43" s="199"/>
      <c r="P43" s="199"/>
      <c r="Q43" s="200"/>
      <c r="R43" s="324"/>
      <c r="S43" s="325"/>
      <c r="T43" s="325"/>
      <c r="U43" s="326"/>
      <c r="V43" s="27"/>
    </row>
    <row r="44" spans="1:22" ht="15" customHeight="1" thickBot="1">
      <c r="B44" s="71"/>
      <c r="C44" s="72" t="s">
        <v>112</v>
      </c>
      <c r="D44" s="74"/>
      <c r="E44" s="72"/>
      <c r="F44" s="73"/>
      <c r="G44" s="73"/>
      <c r="H44" s="74"/>
      <c r="I44" s="74"/>
      <c r="J44" s="76"/>
      <c r="K44" s="76"/>
      <c r="L44" s="76"/>
      <c r="M44" s="76"/>
      <c r="N44" s="76"/>
      <c r="O44" s="76"/>
      <c r="P44" s="76"/>
      <c r="Q44" s="76"/>
      <c r="R44" s="76"/>
      <c r="S44" s="76"/>
      <c r="T44" s="76"/>
      <c r="U44" s="76"/>
      <c r="V44" s="77"/>
    </row>
    <row r="45" spans="1:22">
      <c r="A45" s="18"/>
      <c r="B45" s="3">
        <v>1</v>
      </c>
      <c r="C45" s="24" t="s">
        <v>113</v>
      </c>
      <c r="D45" s="21"/>
      <c r="E45" s="49"/>
      <c r="F45" s="41"/>
      <c r="G45" s="41"/>
      <c r="H45" s="19" t="s">
        <v>114</v>
      </c>
      <c r="I45" s="4"/>
      <c r="J45" s="192"/>
      <c r="K45" s="193"/>
      <c r="L45" s="193"/>
      <c r="M45" s="194"/>
      <c r="N45" s="192"/>
      <c r="O45" s="193"/>
      <c r="P45" s="193"/>
      <c r="Q45" s="194">
        <v>-1</v>
      </c>
      <c r="R45" s="347">
        <v>3</v>
      </c>
      <c r="S45" s="328"/>
      <c r="T45" s="328"/>
      <c r="U45" s="348"/>
      <c r="V45" s="48"/>
    </row>
    <row r="46" spans="1:22">
      <c r="A46" s="18"/>
      <c r="B46" s="3">
        <v>2</v>
      </c>
      <c r="C46" s="25"/>
      <c r="D46" s="44"/>
      <c r="E46" s="240"/>
      <c r="F46" s="241"/>
      <c r="G46" s="241"/>
      <c r="H46" s="44"/>
      <c r="I46" s="45"/>
      <c r="J46" s="242"/>
      <c r="K46" s="243"/>
      <c r="L46" s="243"/>
      <c r="M46" s="244"/>
      <c r="N46" s="242"/>
      <c r="O46" s="243"/>
      <c r="P46" s="243"/>
      <c r="Q46" s="244"/>
      <c r="R46" s="369"/>
      <c r="S46" s="370"/>
      <c r="T46" s="370"/>
      <c r="U46" s="371"/>
      <c r="V46" s="245"/>
    </row>
    <row r="47" spans="1:22">
      <c r="A47" s="18"/>
      <c r="B47" s="3">
        <v>2</v>
      </c>
      <c r="C47" s="55"/>
      <c r="D47" s="21"/>
      <c r="E47" s="188"/>
      <c r="F47" s="39"/>
      <c r="G47" s="39"/>
      <c r="H47" s="21"/>
      <c r="I47" s="4"/>
      <c r="J47" s="195"/>
      <c r="K47" s="196"/>
      <c r="L47" s="196"/>
      <c r="M47" s="197"/>
      <c r="N47" s="195"/>
      <c r="O47" s="196"/>
      <c r="P47" s="196"/>
      <c r="Q47" s="197"/>
      <c r="R47" s="344"/>
      <c r="S47" s="311"/>
      <c r="T47" s="311"/>
      <c r="U47" s="345"/>
      <c r="V47" s="27"/>
    </row>
    <row r="48" spans="1:22">
      <c r="A48" s="18"/>
      <c r="B48" s="3">
        <v>3</v>
      </c>
      <c r="C48" s="56"/>
      <c r="D48" s="21"/>
      <c r="E48" s="188"/>
      <c r="F48" s="39"/>
      <c r="G48" s="39"/>
      <c r="H48" s="21"/>
      <c r="I48" s="4"/>
      <c r="J48" s="195"/>
      <c r="K48" s="196"/>
      <c r="L48" s="196"/>
      <c r="M48" s="197"/>
      <c r="N48" s="195"/>
      <c r="O48" s="196"/>
      <c r="P48" s="196"/>
      <c r="Q48" s="197"/>
      <c r="R48" s="344"/>
      <c r="S48" s="311"/>
      <c r="T48" s="311"/>
      <c r="U48" s="345"/>
      <c r="V48" s="27"/>
    </row>
    <row r="49" spans="1:26">
      <c r="A49" s="18"/>
      <c r="B49" s="3">
        <v>4</v>
      </c>
      <c r="C49" s="55"/>
      <c r="D49" s="21"/>
      <c r="E49" s="188"/>
      <c r="F49" s="39"/>
      <c r="G49" s="39"/>
      <c r="H49" s="5"/>
      <c r="I49" s="4"/>
      <c r="J49" s="195"/>
      <c r="K49" s="196"/>
      <c r="L49" s="196"/>
      <c r="M49" s="197"/>
      <c r="N49" s="195"/>
      <c r="O49" s="196"/>
      <c r="P49" s="196"/>
      <c r="Q49" s="197"/>
      <c r="R49" s="344"/>
      <c r="S49" s="311"/>
      <c r="T49" s="311"/>
      <c r="U49" s="345"/>
      <c r="V49" s="27"/>
    </row>
    <row r="50" spans="1:26">
      <c r="A50" s="18"/>
      <c r="B50" s="3">
        <v>5</v>
      </c>
      <c r="C50" s="56"/>
      <c r="D50" s="21"/>
      <c r="E50" s="188"/>
      <c r="F50" s="39"/>
      <c r="G50" s="39"/>
      <c r="H50" s="5"/>
      <c r="I50" s="4"/>
      <c r="J50" s="195"/>
      <c r="K50" s="196"/>
      <c r="L50" s="196"/>
      <c r="M50" s="197"/>
      <c r="N50" s="195"/>
      <c r="O50" s="196"/>
      <c r="P50" s="196"/>
      <c r="Q50" s="197"/>
      <c r="R50" s="344"/>
      <c r="S50" s="311"/>
      <c r="T50" s="311"/>
      <c r="U50" s="345"/>
      <c r="V50" s="27"/>
    </row>
    <row r="51" spans="1:26">
      <c r="A51" s="18"/>
      <c r="B51" s="43">
        <v>6</v>
      </c>
      <c r="C51" s="25"/>
      <c r="D51" s="33"/>
      <c r="E51" s="188"/>
      <c r="F51" s="39"/>
      <c r="G51" s="39"/>
      <c r="H51" s="5"/>
      <c r="I51" s="4"/>
      <c r="J51" s="195"/>
      <c r="K51" s="196"/>
      <c r="L51" s="196"/>
      <c r="M51" s="197"/>
      <c r="N51" s="195"/>
      <c r="O51" s="196"/>
      <c r="P51" s="196"/>
      <c r="Q51" s="197"/>
      <c r="R51" s="344"/>
      <c r="S51" s="311"/>
      <c r="T51" s="311"/>
      <c r="U51" s="345"/>
      <c r="V51" s="27"/>
    </row>
    <row r="52" spans="1:26" ht="15" customHeight="1" thickBot="1">
      <c r="A52" s="18"/>
      <c r="B52" s="43">
        <v>7</v>
      </c>
      <c r="C52" s="26"/>
      <c r="D52" s="22"/>
      <c r="E52" s="189"/>
      <c r="F52" s="40"/>
      <c r="G52" s="39"/>
      <c r="H52" s="5"/>
      <c r="I52" s="4"/>
      <c r="J52" s="198"/>
      <c r="K52" s="199"/>
      <c r="L52" s="199"/>
      <c r="M52" s="200"/>
      <c r="N52" s="198"/>
      <c r="O52" s="199"/>
      <c r="P52" s="199"/>
      <c r="Q52" s="200"/>
      <c r="R52" s="324"/>
      <c r="S52" s="325"/>
      <c r="T52" s="325"/>
      <c r="U52" s="326"/>
      <c r="V52" s="27"/>
    </row>
    <row r="53" spans="1:26" ht="15" customHeight="1" thickBot="1">
      <c r="B53" s="71"/>
      <c r="C53" s="72" t="s">
        <v>115</v>
      </c>
      <c r="D53" s="74"/>
      <c r="E53" s="72"/>
      <c r="F53" s="73"/>
      <c r="G53" s="73"/>
      <c r="H53" s="74"/>
      <c r="I53" s="74"/>
      <c r="J53" s="76"/>
      <c r="K53" s="76"/>
      <c r="L53" s="76"/>
      <c r="M53" s="76"/>
      <c r="N53" s="76"/>
      <c r="O53" s="76"/>
      <c r="P53" s="76"/>
      <c r="Q53" s="76"/>
      <c r="R53" s="76"/>
      <c r="S53" s="76"/>
      <c r="T53" s="76"/>
      <c r="U53" s="76"/>
      <c r="V53" s="77"/>
    </row>
    <row r="54" spans="1:26">
      <c r="A54" s="18"/>
      <c r="B54" s="3">
        <v>1</v>
      </c>
      <c r="C54" s="52"/>
      <c r="D54" s="19"/>
      <c r="E54" s="49"/>
      <c r="F54" s="41"/>
      <c r="G54" s="41"/>
      <c r="H54" s="83"/>
      <c r="I54" s="20"/>
      <c r="J54" s="192"/>
      <c r="K54" s="193"/>
      <c r="L54" s="193"/>
      <c r="M54" s="194"/>
      <c r="N54" s="192"/>
      <c r="O54" s="193"/>
      <c r="P54" s="193"/>
      <c r="Q54" s="194"/>
      <c r="R54" s="347"/>
      <c r="S54" s="328"/>
      <c r="T54" s="328"/>
      <c r="U54" s="348"/>
      <c r="V54" s="48"/>
    </row>
    <row r="55" spans="1:26">
      <c r="A55" s="18"/>
      <c r="B55" s="3">
        <v>2</v>
      </c>
      <c r="C55" s="53"/>
      <c r="D55" s="21"/>
      <c r="E55" s="188"/>
      <c r="F55" s="39"/>
      <c r="G55" s="39"/>
      <c r="H55" s="5"/>
      <c r="I55" s="4"/>
      <c r="J55" s="195"/>
      <c r="K55" s="196"/>
      <c r="L55" s="196"/>
      <c r="M55" s="197"/>
      <c r="N55" s="195"/>
      <c r="O55" s="196"/>
      <c r="P55" s="196"/>
      <c r="Q55" s="197"/>
      <c r="R55" s="344"/>
      <c r="S55" s="311"/>
      <c r="T55" s="311"/>
      <c r="U55" s="345"/>
      <c r="V55" s="27"/>
    </row>
    <row r="56" spans="1:26" ht="15" customHeight="1" thickBot="1">
      <c r="A56" s="18"/>
      <c r="B56" s="3">
        <v>3</v>
      </c>
      <c r="C56" s="54"/>
      <c r="D56" s="22"/>
      <c r="E56" s="189"/>
      <c r="F56" s="40"/>
      <c r="G56" s="40"/>
      <c r="H56" s="5"/>
      <c r="I56" s="23"/>
      <c r="J56" s="198"/>
      <c r="K56" s="199"/>
      <c r="L56" s="199"/>
      <c r="M56" s="200"/>
      <c r="N56" s="198"/>
      <c r="O56" s="199"/>
      <c r="P56" s="199"/>
      <c r="Q56" s="200"/>
      <c r="R56" s="324"/>
      <c r="S56" s="325"/>
      <c r="T56" s="325"/>
      <c r="U56" s="326"/>
      <c r="V56" s="27"/>
    </row>
    <row r="57" spans="1:26" ht="15" customHeight="1" thickBot="1">
      <c r="B57" s="71"/>
      <c r="C57" s="72" t="s">
        <v>116</v>
      </c>
      <c r="D57" s="74"/>
      <c r="E57" s="72"/>
      <c r="F57" s="73"/>
      <c r="G57" s="73"/>
      <c r="H57" s="74"/>
      <c r="I57" s="74"/>
      <c r="J57" s="76"/>
      <c r="K57" s="76"/>
      <c r="L57" s="76"/>
      <c r="M57" s="76"/>
      <c r="N57" s="76"/>
      <c r="O57" s="76"/>
      <c r="P57" s="76"/>
      <c r="Q57" s="76"/>
      <c r="R57" s="76"/>
      <c r="S57" s="76"/>
      <c r="T57" s="76"/>
      <c r="U57" s="76"/>
      <c r="V57" s="77"/>
    </row>
    <row r="58" spans="1:26" ht="43.75" customHeight="1" thickBot="1">
      <c r="A58" s="18"/>
      <c r="B58" s="107">
        <v>1</v>
      </c>
      <c r="C58" s="151" t="s">
        <v>117</v>
      </c>
      <c r="D58" s="152"/>
      <c r="E58" s="190"/>
      <c r="F58" s="153"/>
      <c r="G58" s="153"/>
      <c r="H58" s="154" t="s">
        <v>118</v>
      </c>
      <c r="I58" s="108" t="s">
        <v>119</v>
      </c>
      <c r="J58" s="201"/>
      <c r="K58" s="202"/>
      <c r="L58" s="202"/>
      <c r="M58" s="203"/>
      <c r="N58" s="201"/>
      <c r="O58" s="202"/>
      <c r="P58" s="202">
        <v>1</v>
      </c>
      <c r="Q58" s="203"/>
      <c r="R58" s="351">
        <f>SUM(U62:U65)/5</f>
        <v>14</v>
      </c>
      <c r="S58" s="313"/>
      <c r="T58" s="313"/>
      <c r="U58" s="314"/>
      <c r="V58" s="109"/>
    </row>
    <row r="59" spans="1:26" ht="15" customHeight="1" thickBot="1">
      <c r="C59" s="9"/>
      <c r="D59" s="9"/>
      <c r="E59" s="9"/>
      <c r="F59" s="9"/>
      <c r="G59" s="9"/>
      <c r="H59" s="9"/>
      <c r="I59" s="150" t="s">
        <v>104</v>
      </c>
      <c r="J59" s="155">
        <f t="shared" ref="J59:Q59" si="3">SUM(J31:J58)</f>
        <v>0</v>
      </c>
      <c r="K59" s="156">
        <f t="shared" si="3"/>
        <v>0</v>
      </c>
      <c r="L59" s="156">
        <f t="shared" si="3"/>
        <v>0</v>
      </c>
      <c r="M59" s="156">
        <f t="shared" si="3"/>
        <v>0</v>
      </c>
      <c r="N59" s="155">
        <f t="shared" si="3"/>
        <v>0</v>
      </c>
      <c r="O59" s="156">
        <f t="shared" si="3"/>
        <v>0</v>
      </c>
      <c r="P59" s="156">
        <f t="shared" si="3"/>
        <v>1</v>
      </c>
      <c r="Q59" s="156">
        <f t="shared" si="3"/>
        <v>-1</v>
      </c>
      <c r="R59" s="356">
        <f>SUM(R31:U58)</f>
        <v>18.5</v>
      </c>
      <c r="S59" s="313"/>
      <c r="T59" s="313"/>
      <c r="U59" s="357"/>
      <c r="V59" s="9"/>
      <c r="W59" s="9"/>
      <c r="Z59" s="271"/>
    </row>
    <row r="60" spans="1:26" ht="15" customHeight="1" thickBot="1">
      <c r="C60" s="9"/>
      <c r="D60" s="9"/>
      <c r="E60" s="9"/>
      <c r="F60" s="9"/>
      <c r="G60" s="9"/>
      <c r="H60" s="9"/>
      <c r="I60" s="9"/>
      <c r="J60" s="9"/>
      <c r="K60" s="9"/>
      <c r="L60" s="9"/>
      <c r="M60" s="9"/>
      <c r="N60" s="9"/>
      <c r="O60" s="9"/>
      <c r="P60" s="9"/>
      <c r="Q60" s="9"/>
      <c r="R60" s="9"/>
      <c r="S60" s="9"/>
      <c r="T60" s="9"/>
      <c r="U60" s="9"/>
      <c r="V60" s="9"/>
      <c r="W60" s="9"/>
    </row>
    <row r="61" spans="1:26" ht="43.75" customHeight="1" thickBot="1">
      <c r="C61" s="9"/>
      <c r="D61" s="9"/>
      <c r="E61" s="9"/>
      <c r="F61" s="9"/>
      <c r="G61" s="9"/>
      <c r="H61" s="9"/>
      <c r="I61" s="9"/>
      <c r="O61" s="9"/>
      <c r="P61" s="9"/>
      <c r="R61" s="358" t="s">
        <v>120</v>
      </c>
      <c r="S61" s="313"/>
      <c r="T61" s="357"/>
      <c r="U61" s="47" t="s">
        <v>121</v>
      </c>
    </row>
    <row r="62" spans="1:26" s="10" customFormat="1">
      <c r="N62" s="157"/>
      <c r="R62" s="327" t="s">
        <v>46</v>
      </c>
      <c r="S62" s="328"/>
      <c r="T62" s="329"/>
      <c r="U62" s="147">
        <f>R26</f>
        <v>17</v>
      </c>
    </row>
    <row r="63" spans="1:26" s="10" customFormat="1">
      <c r="C63" s="304"/>
      <c r="D63" s="304"/>
      <c r="H63" s="304"/>
      <c r="I63" s="304"/>
      <c r="N63" s="157"/>
      <c r="R63" s="349" t="s">
        <v>48</v>
      </c>
      <c r="S63" s="311"/>
      <c r="T63" s="350"/>
      <c r="U63" s="149">
        <f>S26</f>
        <v>12</v>
      </c>
    </row>
    <row r="64" spans="1:26" s="10" customFormat="1">
      <c r="C64" s="304"/>
      <c r="D64" s="304"/>
      <c r="H64" s="304"/>
      <c r="I64" s="304"/>
      <c r="N64" s="157"/>
      <c r="R64" s="349" t="s">
        <v>50</v>
      </c>
      <c r="S64" s="311"/>
      <c r="T64" s="350"/>
      <c r="U64" s="149">
        <f>T26</f>
        <v>26</v>
      </c>
    </row>
    <row r="65" spans="3:22" s="10" customFormat="1">
      <c r="C65" s="304"/>
      <c r="D65" s="304"/>
      <c r="H65" s="304"/>
      <c r="I65" s="304"/>
      <c r="N65" s="157"/>
      <c r="R65" s="349" t="s">
        <v>51</v>
      </c>
      <c r="S65" s="311"/>
      <c r="T65" s="350"/>
      <c r="U65" s="149">
        <f>U26</f>
        <v>15</v>
      </c>
    </row>
    <row r="66" spans="3:22" s="10" customFormat="1">
      <c r="C66" s="304"/>
      <c r="D66" s="304"/>
      <c r="H66" s="304"/>
      <c r="I66" s="304"/>
      <c r="N66" s="157"/>
      <c r="R66" s="349" t="s">
        <v>52</v>
      </c>
      <c r="S66" s="311"/>
      <c r="T66" s="350"/>
      <c r="U66" s="149">
        <f>SUM(R31:U44)</f>
        <v>1.5</v>
      </c>
      <c r="V66" s="239" t="s">
        <v>122</v>
      </c>
    </row>
    <row r="67" spans="3:22" s="10" customFormat="1">
      <c r="C67" s="304"/>
      <c r="D67" s="304"/>
      <c r="H67" s="304"/>
      <c r="I67" s="304"/>
      <c r="N67" s="157"/>
      <c r="R67" s="349" t="s">
        <v>123</v>
      </c>
      <c r="S67" s="311"/>
      <c r="T67" s="350"/>
      <c r="U67" s="149">
        <f>SUM(R44:U57)</f>
        <v>3</v>
      </c>
    </row>
    <row r="68" spans="3:22" s="10" customFormat="1" ht="15" customHeight="1" thickBot="1">
      <c r="C68" s="304"/>
      <c r="D68" s="304"/>
      <c r="H68" s="304"/>
      <c r="I68" s="304"/>
      <c r="R68" s="355" t="s">
        <v>44</v>
      </c>
      <c r="S68" s="325"/>
      <c r="T68" s="334"/>
      <c r="U68" s="148">
        <f>SUM(R57:U58)</f>
        <v>14</v>
      </c>
    </row>
    <row r="69" spans="3:22" s="10" customFormat="1">
      <c r="C69" s="304"/>
      <c r="D69" s="304"/>
      <c r="H69" s="304"/>
      <c r="I69" s="304"/>
      <c r="R69" s="368" t="s">
        <v>54</v>
      </c>
      <c r="S69" s="328"/>
      <c r="T69" s="329"/>
      <c r="U69" s="69">
        <f>SUM(U62:U68)</f>
        <v>88.5</v>
      </c>
    </row>
    <row r="70" spans="3:22" s="10" customFormat="1" ht="15" customHeight="1" thickBot="1">
      <c r="K70" s="11"/>
      <c r="L70" s="11"/>
      <c r="R70" s="364" t="s">
        <v>124</v>
      </c>
      <c r="S70" s="325"/>
      <c r="T70" s="334"/>
      <c r="U70" s="70">
        <f>U69/20</f>
        <v>4.4249999999999998</v>
      </c>
    </row>
    <row r="71" spans="3:22">
      <c r="R71" s="10"/>
      <c r="S71" s="10"/>
      <c r="T71" s="10"/>
      <c r="U71" s="10"/>
    </row>
  </sheetData>
  <autoFilter ref="A7:Y12"/>
  <mergeCells count="79">
    <mergeCell ref="J6:M6"/>
    <mergeCell ref="E5:E7"/>
    <mergeCell ref="R64:T64"/>
    <mergeCell ref="R37:U37"/>
    <mergeCell ref="E28:E30"/>
    <mergeCell ref="R63:T63"/>
    <mergeCell ref="R35:U35"/>
    <mergeCell ref="L18:L22"/>
    <mergeCell ref="R50:U50"/>
    <mergeCell ref="R70:T70"/>
    <mergeCell ref="N6:Q6"/>
    <mergeCell ref="U18:U22"/>
    <mergeCell ref="M18:M22"/>
    <mergeCell ref="C28:C30"/>
    <mergeCell ref="R18:R22"/>
    <mergeCell ref="N18:N22"/>
    <mergeCell ref="R49:U49"/>
    <mergeCell ref="R34:U34"/>
    <mergeCell ref="R67:T67"/>
    <mergeCell ref="R36:U36"/>
    <mergeCell ref="R69:T69"/>
    <mergeCell ref="F18:F22"/>
    <mergeCell ref="R42:U42"/>
    <mergeCell ref="D28:D30"/>
    <mergeCell ref="F28:F30"/>
    <mergeCell ref="R66:T66"/>
    <mergeCell ref="H18:H22"/>
    <mergeCell ref="J18:J22"/>
    <mergeCell ref="T18:T22"/>
    <mergeCell ref="R68:T68"/>
    <mergeCell ref="R59:U59"/>
    <mergeCell ref="R61:T61"/>
    <mergeCell ref="H28:I28"/>
    <mergeCell ref="R45:U45"/>
    <mergeCell ref="R47:U47"/>
    <mergeCell ref="I18:I22"/>
    <mergeCell ref="J28:M29"/>
    <mergeCell ref="R46:U46"/>
    <mergeCell ref="R28:U29"/>
    <mergeCell ref="R39:U39"/>
    <mergeCell ref="R48:U48"/>
    <mergeCell ref="R65:T65"/>
    <mergeCell ref="R56:U56"/>
    <mergeCell ref="R43:U43"/>
    <mergeCell ref="R58:U58"/>
    <mergeCell ref="R33:U33"/>
    <mergeCell ref="R38:U38"/>
    <mergeCell ref="R62:T62"/>
    <mergeCell ref="J5:M5"/>
    <mergeCell ref="R30:U30"/>
    <mergeCell ref="I29:I30"/>
    <mergeCell ref="N28:Q29"/>
    <mergeCell ref="R6:U6"/>
    <mergeCell ref="O18:O22"/>
    <mergeCell ref="Q18:Q22"/>
    <mergeCell ref="S18:S22"/>
    <mergeCell ref="N5:Q5"/>
    <mergeCell ref="R55:U55"/>
    <mergeCell ref="I6:I7"/>
    <mergeCell ref="R51:U51"/>
    <mergeCell ref="R54:U54"/>
    <mergeCell ref="R32:U32"/>
    <mergeCell ref="R41:U41"/>
    <mergeCell ref="B2:V2"/>
    <mergeCell ref="D5:D7"/>
    <mergeCell ref="B5:B7"/>
    <mergeCell ref="P18:P22"/>
    <mergeCell ref="R52:U52"/>
    <mergeCell ref="G28:G30"/>
    <mergeCell ref="V5:V7"/>
    <mergeCell ref="F5:F7"/>
    <mergeCell ref="V28:V30"/>
    <mergeCell ref="H5:I5"/>
    <mergeCell ref="G18:G22"/>
    <mergeCell ref="G5:G7"/>
    <mergeCell ref="B28:B30"/>
    <mergeCell ref="R5:U5"/>
    <mergeCell ref="K18:K22"/>
    <mergeCell ref="C5:C7"/>
  </mergeCells>
  <hyperlinks>
    <hyperlink ref="J6" location="難易度別標準工数!A1" display="難易度別標準工数"/>
  </hyperlinks>
  <pageMargins left="0.39370078740157483" right="0.39370078740157483" top="0.39370078740157483" bottom="0.39370078740157483" header="0.19685039370078741" footer="0.19685039370078741"/>
  <pageSetup paperSize="9" scale="5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1"/>
  <sheetViews>
    <sheetView showGridLines="0" zoomScale="70" zoomScaleNormal="70" zoomScaleSheetLayoutView="70" workbookViewId="0">
      <pane ySplit="7" topLeftCell="A41" activePane="bottomLeft" state="frozen"/>
      <selection pane="bottomLeft"/>
    </sheetView>
  </sheetViews>
  <sheetFormatPr defaultColWidth="2.453125" defaultRowHeight="13.5"/>
  <cols>
    <col min="1" max="1" width="3.08984375" style="1" customWidth="1"/>
    <col min="2" max="2" width="4.81640625" style="1" customWidth="1"/>
    <col min="3" max="3" width="27.90625" style="1" customWidth="1"/>
    <col min="4" max="4" width="36.36328125" style="1" customWidth="1"/>
    <col min="5" max="5" width="25" style="1" customWidth="1"/>
    <col min="6" max="6" width="8.08984375" style="1" customWidth="1"/>
    <col min="7" max="7" width="9.08984375" style="1" bestFit="1" customWidth="1"/>
    <col min="8" max="8" width="79.6328125" style="1" customWidth="1"/>
    <col min="9" max="9" width="77.08984375" style="1" customWidth="1"/>
    <col min="10" max="17" width="10.6328125" style="1" customWidth="1"/>
    <col min="18" max="18" width="13.453125" style="1" customWidth="1"/>
    <col min="19" max="21" width="10.6328125" style="1" customWidth="1"/>
    <col min="22" max="22" width="22" style="1" customWidth="1"/>
    <col min="23" max="23" width="10.54296875" style="1" customWidth="1"/>
    <col min="24" max="24" width="5.36328125" style="1" bestFit="1" customWidth="1"/>
    <col min="25" max="25" width="16.54296875" style="1" customWidth="1"/>
    <col min="26" max="26" width="32.54296875" style="1" customWidth="1"/>
    <col min="27" max="27" width="5.453125" style="1" bestFit="1" customWidth="1"/>
    <col min="28" max="28" width="4.90625" style="1" bestFit="1" customWidth="1"/>
    <col min="29" max="29" width="2.453125" style="1" customWidth="1"/>
    <col min="30" max="30" width="4.54296875" style="1" customWidth="1"/>
    <col min="31" max="263" width="2.453125" style="1" customWidth="1"/>
    <col min="264" max="264" width="3.08984375" style="1" customWidth="1"/>
    <col min="265" max="265" width="3.453125" style="1" customWidth="1"/>
    <col min="266" max="266" width="45.54296875" style="1" customWidth="1"/>
    <col min="267" max="267" width="8.08984375" style="1" customWidth="1"/>
    <col min="268" max="268" width="9.08984375" style="1" bestFit="1" customWidth="1"/>
    <col min="269" max="269" width="40.54296875" style="1" customWidth="1"/>
    <col min="270" max="276" width="12.90625" style="1" customWidth="1"/>
    <col min="277" max="277" width="13.08984375" style="1" customWidth="1"/>
    <col min="278" max="278" width="48.08984375" style="1" customWidth="1"/>
    <col min="279" max="279" width="4.08984375" style="1" customWidth="1"/>
    <col min="280" max="280" width="2.453125" style="1" customWidth="1"/>
    <col min="281" max="281" width="4.54296875" style="1" bestFit="1" customWidth="1"/>
    <col min="282" max="282" width="8.08984375" style="1" bestFit="1" customWidth="1"/>
    <col min="283" max="283" width="5.453125" style="1" bestFit="1" customWidth="1"/>
    <col min="284" max="284" width="4.90625" style="1" bestFit="1" customWidth="1"/>
    <col min="285" max="285" width="2.453125" style="1" customWidth="1"/>
    <col min="286" max="286" width="4.54296875" style="1" customWidth="1"/>
    <col min="287" max="519" width="2.453125" style="1" customWidth="1"/>
    <col min="520" max="520" width="3.08984375" style="1" customWidth="1"/>
    <col min="521" max="521" width="3.453125" style="1" customWidth="1"/>
    <col min="522" max="522" width="45.54296875" style="1" customWidth="1"/>
    <col min="523" max="523" width="8.08984375" style="1" customWidth="1"/>
    <col min="524" max="524" width="9.08984375" style="1" bestFit="1" customWidth="1"/>
    <col min="525" max="525" width="40.54296875" style="1" customWidth="1"/>
    <col min="526" max="532" width="12.90625" style="1" customWidth="1"/>
    <col min="533" max="533" width="13.08984375" style="1" customWidth="1"/>
    <col min="534" max="534" width="48.08984375" style="1" customWidth="1"/>
    <col min="535" max="535" width="4.08984375" style="1" customWidth="1"/>
    <col min="536" max="536" width="2.453125" style="1" customWidth="1"/>
    <col min="537" max="537" width="4.54296875" style="1" bestFit="1" customWidth="1"/>
    <col min="538" max="538" width="8.08984375" style="1" bestFit="1" customWidth="1"/>
    <col min="539" max="539" width="5.453125" style="1" bestFit="1" customWidth="1"/>
    <col min="540" max="540" width="4.90625" style="1" bestFit="1" customWidth="1"/>
    <col min="541" max="541" width="2.453125" style="1" customWidth="1"/>
    <col min="542" max="542" width="4.54296875" style="1" customWidth="1"/>
    <col min="543" max="775" width="2.453125" style="1" customWidth="1"/>
    <col min="776" max="776" width="3.08984375" style="1" customWidth="1"/>
    <col min="777" max="777" width="3.453125" style="1" customWidth="1"/>
    <col min="778" max="778" width="45.54296875" style="1" customWidth="1"/>
    <col min="779" max="779" width="8.08984375" style="1" customWidth="1"/>
    <col min="780" max="780" width="9.08984375" style="1" bestFit="1" customWidth="1"/>
    <col min="781" max="781" width="40.54296875" style="1" customWidth="1"/>
    <col min="782" max="788" width="12.90625" style="1" customWidth="1"/>
    <col min="789" max="789" width="13.08984375" style="1" customWidth="1"/>
    <col min="790" max="790" width="48.08984375" style="1" customWidth="1"/>
    <col min="791" max="791" width="4.08984375" style="1" customWidth="1"/>
    <col min="792" max="792" width="2.453125" style="1" customWidth="1"/>
    <col min="793" max="793" width="4.54296875" style="1" bestFit="1" customWidth="1"/>
    <col min="794" max="794" width="8.08984375" style="1" bestFit="1" customWidth="1"/>
    <col min="795" max="795" width="5.453125" style="1" bestFit="1" customWidth="1"/>
    <col min="796" max="796" width="4.90625" style="1" bestFit="1" customWidth="1"/>
    <col min="797" max="797" width="2.453125" style="1" customWidth="1"/>
    <col min="798" max="798" width="4.54296875" style="1" customWidth="1"/>
    <col min="799" max="1031" width="2.453125" style="1" customWidth="1"/>
    <col min="1032" max="1032" width="3.08984375" style="1" customWidth="1"/>
    <col min="1033" max="1033" width="3.453125" style="1" customWidth="1"/>
    <col min="1034" max="1034" width="45.54296875" style="1" customWidth="1"/>
    <col min="1035" max="1035" width="8.08984375" style="1" customWidth="1"/>
    <col min="1036" max="1036" width="9.08984375" style="1" bestFit="1" customWidth="1"/>
    <col min="1037" max="1037" width="40.54296875" style="1" customWidth="1"/>
    <col min="1038" max="1044" width="12.90625" style="1" customWidth="1"/>
    <col min="1045" max="1045" width="13.08984375" style="1" customWidth="1"/>
    <col min="1046" max="1046" width="48.08984375" style="1" customWidth="1"/>
    <col min="1047" max="1047" width="4.08984375" style="1" customWidth="1"/>
    <col min="1048" max="1048" width="2.453125" style="1" customWidth="1"/>
    <col min="1049" max="1049" width="4.54296875" style="1" bestFit="1" customWidth="1"/>
    <col min="1050" max="1050" width="8.08984375" style="1" bestFit="1" customWidth="1"/>
    <col min="1051" max="1051" width="5.453125" style="1" bestFit="1" customWidth="1"/>
    <col min="1052" max="1052" width="4.90625" style="1" bestFit="1" customWidth="1"/>
    <col min="1053" max="1053" width="2.453125" style="1" customWidth="1"/>
    <col min="1054" max="1054" width="4.54296875" style="1" customWidth="1"/>
    <col min="1055" max="1287" width="2.453125" style="1" customWidth="1"/>
    <col min="1288" max="1288" width="3.08984375" style="1" customWidth="1"/>
    <col min="1289" max="1289" width="3.453125" style="1" customWidth="1"/>
    <col min="1290" max="1290" width="45.54296875" style="1" customWidth="1"/>
    <col min="1291" max="1291" width="8.08984375" style="1" customWidth="1"/>
    <col min="1292" max="1292" width="9.08984375" style="1" bestFit="1" customWidth="1"/>
    <col min="1293" max="1293" width="40.54296875" style="1" customWidth="1"/>
    <col min="1294" max="1300" width="12.90625" style="1" customWidth="1"/>
    <col min="1301" max="1301" width="13.08984375" style="1" customWidth="1"/>
    <col min="1302" max="1302" width="48.08984375" style="1" customWidth="1"/>
    <col min="1303" max="1303" width="4.08984375" style="1" customWidth="1"/>
    <col min="1304" max="1304" width="2.453125" style="1" customWidth="1"/>
    <col min="1305" max="1305" width="4.54296875" style="1" bestFit="1" customWidth="1"/>
    <col min="1306" max="1306" width="8.08984375" style="1" bestFit="1" customWidth="1"/>
    <col min="1307" max="1307" width="5.453125" style="1" bestFit="1" customWidth="1"/>
    <col min="1308" max="1308" width="4.90625" style="1" bestFit="1" customWidth="1"/>
    <col min="1309" max="1309" width="2.453125" style="1" customWidth="1"/>
    <col min="1310" max="1310" width="4.54296875" style="1" customWidth="1"/>
    <col min="1311" max="1543" width="2.453125" style="1" customWidth="1"/>
    <col min="1544" max="1544" width="3.08984375" style="1" customWidth="1"/>
    <col min="1545" max="1545" width="3.453125" style="1" customWidth="1"/>
    <col min="1546" max="1546" width="45.54296875" style="1" customWidth="1"/>
    <col min="1547" max="1547" width="8.08984375" style="1" customWidth="1"/>
    <col min="1548" max="1548" width="9.08984375" style="1" bestFit="1" customWidth="1"/>
    <col min="1549" max="1549" width="40.54296875" style="1" customWidth="1"/>
    <col min="1550" max="1556" width="12.90625" style="1" customWidth="1"/>
    <col min="1557" max="1557" width="13.08984375" style="1" customWidth="1"/>
    <col min="1558" max="1558" width="48.08984375" style="1" customWidth="1"/>
    <col min="1559" max="1559" width="4.08984375" style="1" customWidth="1"/>
    <col min="1560" max="1560" width="2.453125" style="1" customWidth="1"/>
    <col min="1561" max="1561" width="4.54296875" style="1" bestFit="1" customWidth="1"/>
    <col min="1562" max="1562" width="8.08984375" style="1" bestFit="1" customWidth="1"/>
    <col min="1563" max="1563" width="5.453125" style="1" bestFit="1" customWidth="1"/>
    <col min="1564" max="1564" width="4.90625" style="1" bestFit="1" customWidth="1"/>
    <col min="1565" max="1565" width="2.453125" style="1" customWidth="1"/>
    <col min="1566" max="1566" width="4.54296875" style="1" customWidth="1"/>
    <col min="1567" max="1799" width="2.453125" style="1" customWidth="1"/>
    <col min="1800" max="1800" width="3.08984375" style="1" customWidth="1"/>
    <col min="1801" max="1801" width="3.453125" style="1" customWidth="1"/>
    <col min="1802" max="1802" width="45.54296875" style="1" customWidth="1"/>
    <col min="1803" max="1803" width="8.08984375" style="1" customWidth="1"/>
    <col min="1804" max="1804" width="9.08984375" style="1" bestFit="1" customWidth="1"/>
    <col min="1805" max="1805" width="40.54296875" style="1" customWidth="1"/>
    <col min="1806" max="1812" width="12.90625" style="1" customWidth="1"/>
    <col min="1813" max="1813" width="13.08984375" style="1" customWidth="1"/>
    <col min="1814" max="1814" width="48.08984375" style="1" customWidth="1"/>
    <col min="1815" max="1815" width="4.08984375" style="1" customWidth="1"/>
    <col min="1816" max="1816" width="2.453125" style="1" customWidth="1"/>
    <col min="1817" max="1817" width="4.54296875" style="1" bestFit="1" customWidth="1"/>
    <col min="1818" max="1818" width="8.08984375" style="1" bestFit="1" customWidth="1"/>
    <col min="1819" max="1819" width="5.453125" style="1" bestFit="1" customWidth="1"/>
    <col min="1820" max="1820" width="4.90625" style="1" bestFit="1" customWidth="1"/>
    <col min="1821" max="1821" width="2.453125" style="1" customWidth="1"/>
    <col min="1822" max="1822" width="4.54296875" style="1" customWidth="1"/>
    <col min="1823" max="2055" width="2.453125" style="1" customWidth="1"/>
    <col min="2056" max="2056" width="3.08984375" style="1" customWidth="1"/>
    <col min="2057" max="2057" width="3.453125" style="1" customWidth="1"/>
    <col min="2058" max="2058" width="45.54296875" style="1" customWidth="1"/>
    <col min="2059" max="2059" width="8.08984375" style="1" customWidth="1"/>
    <col min="2060" max="2060" width="9.08984375" style="1" bestFit="1" customWidth="1"/>
    <col min="2061" max="2061" width="40.54296875" style="1" customWidth="1"/>
    <col min="2062" max="2068" width="12.90625" style="1" customWidth="1"/>
    <col min="2069" max="2069" width="13.08984375" style="1" customWidth="1"/>
    <col min="2070" max="2070" width="48.08984375" style="1" customWidth="1"/>
    <col min="2071" max="2071" width="4.08984375" style="1" customWidth="1"/>
    <col min="2072" max="2072" width="2.453125" style="1" customWidth="1"/>
    <col min="2073" max="2073" width="4.54296875" style="1" bestFit="1" customWidth="1"/>
    <col min="2074" max="2074" width="8.08984375" style="1" bestFit="1" customWidth="1"/>
    <col min="2075" max="2075" width="5.453125" style="1" bestFit="1" customWidth="1"/>
    <col min="2076" max="2076" width="4.90625" style="1" bestFit="1" customWidth="1"/>
    <col min="2077" max="2077" width="2.453125" style="1" customWidth="1"/>
    <col min="2078" max="2078" width="4.54296875" style="1" customWidth="1"/>
    <col min="2079" max="2311" width="2.453125" style="1" customWidth="1"/>
    <col min="2312" max="2312" width="3.08984375" style="1" customWidth="1"/>
    <col min="2313" max="2313" width="3.453125" style="1" customWidth="1"/>
    <col min="2314" max="2314" width="45.54296875" style="1" customWidth="1"/>
    <col min="2315" max="2315" width="8.08984375" style="1" customWidth="1"/>
    <col min="2316" max="2316" width="9.08984375" style="1" bestFit="1" customWidth="1"/>
    <col min="2317" max="2317" width="40.54296875" style="1" customWidth="1"/>
    <col min="2318" max="2324" width="12.90625" style="1" customWidth="1"/>
    <col min="2325" max="2325" width="13.08984375" style="1" customWidth="1"/>
    <col min="2326" max="2326" width="48.08984375" style="1" customWidth="1"/>
    <col min="2327" max="2327" width="4.08984375" style="1" customWidth="1"/>
    <col min="2328" max="2328" width="2.453125" style="1" customWidth="1"/>
    <col min="2329" max="2329" width="4.54296875" style="1" bestFit="1" customWidth="1"/>
    <col min="2330" max="2330" width="8.08984375" style="1" bestFit="1" customWidth="1"/>
    <col min="2331" max="2331" width="5.453125" style="1" bestFit="1" customWidth="1"/>
    <col min="2332" max="2332" width="4.90625" style="1" bestFit="1" customWidth="1"/>
    <col min="2333" max="2333" width="2.453125" style="1" customWidth="1"/>
    <col min="2334" max="2334" width="4.54296875" style="1" customWidth="1"/>
    <col min="2335" max="2567" width="2.453125" style="1" customWidth="1"/>
    <col min="2568" max="2568" width="3.08984375" style="1" customWidth="1"/>
    <col min="2569" max="2569" width="3.453125" style="1" customWidth="1"/>
    <col min="2570" max="2570" width="45.54296875" style="1" customWidth="1"/>
    <col min="2571" max="2571" width="8.08984375" style="1" customWidth="1"/>
    <col min="2572" max="2572" width="9.08984375" style="1" bestFit="1" customWidth="1"/>
    <col min="2573" max="2573" width="40.54296875" style="1" customWidth="1"/>
    <col min="2574" max="2580" width="12.90625" style="1" customWidth="1"/>
    <col min="2581" max="2581" width="13.08984375" style="1" customWidth="1"/>
    <col min="2582" max="2582" width="48.08984375" style="1" customWidth="1"/>
    <col min="2583" max="2583" width="4.08984375" style="1" customWidth="1"/>
    <col min="2584" max="2584" width="2.453125" style="1" customWidth="1"/>
    <col min="2585" max="2585" width="4.54296875" style="1" bestFit="1" customWidth="1"/>
    <col min="2586" max="2586" width="8.08984375" style="1" bestFit="1" customWidth="1"/>
    <col min="2587" max="2587" width="5.453125" style="1" bestFit="1" customWidth="1"/>
    <col min="2588" max="2588" width="4.90625" style="1" bestFit="1" customWidth="1"/>
    <col min="2589" max="2589" width="2.453125" style="1" customWidth="1"/>
    <col min="2590" max="2590" width="4.54296875" style="1" customWidth="1"/>
    <col min="2591" max="2823" width="2.453125" style="1" customWidth="1"/>
    <col min="2824" max="2824" width="3.08984375" style="1" customWidth="1"/>
    <col min="2825" max="2825" width="3.453125" style="1" customWidth="1"/>
    <col min="2826" max="2826" width="45.54296875" style="1" customWidth="1"/>
    <col min="2827" max="2827" width="8.08984375" style="1" customWidth="1"/>
    <col min="2828" max="2828" width="9.08984375" style="1" bestFit="1" customWidth="1"/>
    <col min="2829" max="2829" width="40.54296875" style="1" customWidth="1"/>
    <col min="2830" max="2836" width="12.90625" style="1" customWidth="1"/>
    <col min="2837" max="2837" width="13.08984375" style="1" customWidth="1"/>
    <col min="2838" max="2838" width="48.08984375" style="1" customWidth="1"/>
    <col min="2839" max="2839" width="4.08984375" style="1" customWidth="1"/>
    <col min="2840" max="2840" width="2.453125" style="1" customWidth="1"/>
    <col min="2841" max="2841" width="4.54296875" style="1" bestFit="1" customWidth="1"/>
    <col min="2842" max="2842" width="8.08984375" style="1" bestFit="1" customWidth="1"/>
    <col min="2843" max="2843" width="5.453125" style="1" bestFit="1" customWidth="1"/>
    <col min="2844" max="2844" width="4.90625" style="1" bestFit="1" customWidth="1"/>
    <col min="2845" max="2845" width="2.453125" style="1" customWidth="1"/>
    <col min="2846" max="2846" width="4.54296875" style="1" customWidth="1"/>
    <col min="2847" max="3079" width="2.453125" style="1" customWidth="1"/>
    <col min="3080" max="3080" width="3.08984375" style="1" customWidth="1"/>
    <col min="3081" max="3081" width="3.453125" style="1" customWidth="1"/>
    <col min="3082" max="3082" width="45.54296875" style="1" customWidth="1"/>
    <col min="3083" max="3083" width="8.08984375" style="1" customWidth="1"/>
    <col min="3084" max="3084" width="9.08984375" style="1" bestFit="1" customWidth="1"/>
    <col min="3085" max="3085" width="40.54296875" style="1" customWidth="1"/>
    <col min="3086" max="3092" width="12.90625" style="1" customWidth="1"/>
    <col min="3093" max="3093" width="13.08984375" style="1" customWidth="1"/>
    <col min="3094" max="3094" width="48.08984375" style="1" customWidth="1"/>
    <col min="3095" max="3095" width="4.08984375" style="1" customWidth="1"/>
    <col min="3096" max="3096" width="2.453125" style="1" customWidth="1"/>
    <col min="3097" max="3097" width="4.54296875" style="1" bestFit="1" customWidth="1"/>
    <col min="3098" max="3098" width="8.08984375" style="1" bestFit="1" customWidth="1"/>
    <col min="3099" max="3099" width="5.453125" style="1" bestFit="1" customWidth="1"/>
    <col min="3100" max="3100" width="4.90625" style="1" bestFit="1" customWidth="1"/>
    <col min="3101" max="3101" width="2.453125" style="1" customWidth="1"/>
    <col min="3102" max="3102" width="4.54296875" style="1" customWidth="1"/>
    <col min="3103" max="3335" width="2.453125" style="1" customWidth="1"/>
    <col min="3336" max="3336" width="3.08984375" style="1" customWidth="1"/>
    <col min="3337" max="3337" width="3.453125" style="1" customWidth="1"/>
    <col min="3338" max="3338" width="45.54296875" style="1" customWidth="1"/>
    <col min="3339" max="3339" width="8.08984375" style="1" customWidth="1"/>
    <col min="3340" max="3340" width="9.08984375" style="1" bestFit="1" customWidth="1"/>
    <col min="3341" max="3341" width="40.54296875" style="1" customWidth="1"/>
    <col min="3342" max="3348" width="12.90625" style="1" customWidth="1"/>
    <col min="3349" max="3349" width="13.08984375" style="1" customWidth="1"/>
    <col min="3350" max="3350" width="48.08984375" style="1" customWidth="1"/>
    <col min="3351" max="3351" width="4.08984375" style="1" customWidth="1"/>
    <col min="3352" max="3352" width="2.453125" style="1" customWidth="1"/>
    <col min="3353" max="3353" width="4.54296875" style="1" bestFit="1" customWidth="1"/>
    <col min="3354" max="3354" width="8.08984375" style="1" bestFit="1" customWidth="1"/>
    <col min="3355" max="3355" width="5.453125" style="1" bestFit="1" customWidth="1"/>
    <col min="3356" max="3356" width="4.90625" style="1" bestFit="1" customWidth="1"/>
    <col min="3357" max="3357" width="2.453125" style="1" customWidth="1"/>
    <col min="3358" max="3358" width="4.54296875" style="1" customWidth="1"/>
    <col min="3359" max="3591" width="2.453125" style="1" customWidth="1"/>
    <col min="3592" max="3592" width="3.08984375" style="1" customWidth="1"/>
    <col min="3593" max="3593" width="3.453125" style="1" customWidth="1"/>
    <col min="3594" max="3594" width="45.54296875" style="1" customWidth="1"/>
    <col min="3595" max="3595" width="8.08984375" style="1" customWidth="1"/>
    <col min="3596" max="3596" width="9.08984375" style="1" bestFit="1" customWidth="1"/>
    <col min="3597" max="3597" width="40.54296875" style="1" customWidth="1"/>
    <col min="3598" max="3604" width="12.90625" style="1" customWidth="1"/>
    <col min="3605" max="3605" width="13.08984375" style="1" customWidth="1"/>
    <col min="3606" max="3606" width="48.08984375" style="1" customWidth="1"/>
    <col min="3607" max="3607" width="4.08984375" style="1" customWidth="1"/>
    <col min="3608" max="3608" width="2.453125" style="1" customWidth="1"/>
    <col min="3609" max="3609" width="4.54296875" style="1" bestFit="1" customWidth="1"/>
    <col min="3610" max="3610" width="8.08984375" style="1" bestFit="1" customWidth="1"/>
    <col min="3611" max="3611" width="5.453125" style="1" bestFit="1" customWidth="1"/>
    <col min="3612" max="3612" width="4.90625" style="1" bestFit="1" customWidth="1"/>
    <col min="3613" max="3613" width="2.453125" style="1" customWidth="1"/>
    <col min="3614" max="3614" width="4.54296875" style="1" customWidth="1"/>
    <col min="3615" max="3847" width="2.453125" style="1" customWidth="1"/>
    <col min="3848" max="3848" width="3.08984375" style="1" customWidth="1"/>
    <col min="3849" max="3849" width="3.453125" style="1" customWidth="1"/>
    <col min="3850" max="3850" width="45.54296875" style="1" customWidth="1"/>
    <col min="3851" max="3851" width="8.08984375" style="1" customWidth="1"/>
    <col min="3852" max="3852" width="9.08984375" style="1" bestFit="1" customWidth="1"/>
    <col min="3853" max="3853" width="40.54296875" style="1" customWidth="1"/>
    <col min="3854" max="3860" width="12.90625" style="1" customWidth="1"/>
    <col min="3861" max="3861" width="13.08984375" style="1" customWidth="1"/>
    <col min="3862" max="3862" width="48.08984375" style="1" customWidth="1"/>
    <col min="3863" max="3863" width="4.08984375" style="1" customWidth="1"/>
    <col min="3864" max="3864" width="2.453125" style="1" customWidth="1"/>
    <col min="3865" max="3865" width="4.54296875" style="1" bestFit="1" customWidth="1"/>
    <col min="3866" max="3866" width="8.08984375" style="1" bestFit="1" customWidth="1"/>
    <col min="3867" max="3867" width="5.453125" style="1" bestFit="1" customWidth="1"/>
    <col min="3868" max="3868" width="4.90625" style="1" bestFit="1" customWidth="1"/>
    <col min="3869" max="3869" width="2.453125" style="1" customWidth="1"/>
    <col min="3870" max="3870" width="4.54296875" style="1" customWidth="1"/>
    <col min="3871" max="4103" width="2.453125" style="1" customWidth="1"/>
    <col min="4104" max="4104" width="3.08984375" style="1" customWidth="1"/>
    <col min="4105" max="4105" width="3.453125" style="1" customWidth="1"/>
    <col min="4106" max="4106" width="45.54296875" style="1" customWidth="1"/>
    <col min="4107" max="4107" width="8.08984375" style="1" customWidth="1"/>
    <col min="4108" max="4108" width="9.08984375" style="1" bestFit="1" customWidth="1"/>
    <col min="4109" max="4109" width="40.54296875" style="1" customWidth="1"/>
    <col min="4110" max="4116" width="12.90625" style="1" customWidth="1"/>
    <col min="4117" max="4117" width="13.08984375" style="1" customWidth="1"/>
    <col min="4118" max="4118" width="48.08984375" style="1" customWidth="1"/>
    <col min="4119" max="4119" width="4.08984375" style="1" customWidth="1"/>
    <col min="4120" max="4120" width="2.453125" style="1" customWidth="1"/>
    <col min="4121" max="4121" width="4.54296875" style="1" bestFit="1" customWidth="1"/>
    <col min="4122" max="4122" width="8.08984375" style="1" bestFit="1" customWidth="1"/>
    <col min="4123" max="4123" width="5.453125" style="1" bestFit="1" customWidth="1"/>
    <col min="4124" max="4124" width="4.90625" style="1" bestFit="1" customWidth="1"/>
    <col min="4125" max="4125" width="2.453125" style="1" customWidth="1"/>
    <col min="4126" max="4126" width="4.54296875" style="1" customWidth="1"/>
    <col min="4127" max="4359" width="2.453125" style="1" customWidth="1"/>
    <col min="4360" max="4360" width="3.08984375" style="1" customWidth="1"/>
    <col min="4361" max="4361" width="3.453125" style="1" customWidth="1"/>
    <col min="4362" max="4362" width="45.54296875" style="1" customWidth="1"/>
    <col min="4363" max="4363" width="8.08984375" style="1" customWidth="1"/>
    <col min="4364" max="4364" width="9.08984375" style="1" bestFit="1" customWidth="1"/>
    <col min="4365" max="4365" width="40.54296875" style="1" customWidth="1"/>
    <col min="4366" max="4372" width="12.90625" style="1" customWidth="1"/>
    <col min="4373" max="4373" width="13.08984375" style="1" customWidth="1"/>
    <col min="4374" max="4374" width="48.08984375" style="1" customWidth="1"/>
    <col min="4375" max="4375" width="4.08984375" style="1" customWidth="1"/>
    <col min="4376" max="4376" width="2.453125" style="1" customWidth="1"/>
    <col min="4377" max="4377" width="4.54296875" style="1" bestFit="1" customWidth="1"/>
    <col min="4378" max="4378" width="8.08984375" style="1" bestFit="1" customWidth="1"/>
    <col min="4379" max="4379" width="5.453125" style="1" bestFit="1" customWidth="1"/>
    <col min="4380" max="4380" width="4.90625" style="1" bestFit="1" customWidth="1"/>
    <col min="4381" max="4381" width="2.453125" style="1" customWidth="1"/>
    <col min="4382" max="4382" width="4.54296875" style="1" customWidth="1"/>
    <col min="4383" max="4615" width="2.453125" style="1" customWidth="1"/>
    <col min="4616" max="4616" width="3.08984375" style="1" customWidth="1"/>
    <col min="4617" max="4617" width="3.453125" style="1" customWidth="1"/>
    <col min="4618" max="4618" width="45.54296875" style="1" customWidth="1"/>
    <col min="4619" max="4619" width="8.08984375" style="1" customWidth="1"/>
    <col min="4620" max="4620" width="9.08984375" style="1" bestFit="1" customWidth="1"/>
    <col min="4621" max="4621" width="40.54296875" style="1" customWidth="1"/>
    <col min="4622" max="4628" width="12.90625" style="1" customWidth="1"/>
    <col min="4629" max="4629" width="13.08984375" style="1" customWidth="1"/>
    <col min="4630" max="4630" width="48.08984375" style="1" customWidth="1"/>
    <col min="4631" max="4631" width="4.08984375" style="1" customWidth="1"/>
    <col min="4632" max="4632" width="2.453125" style="1" customWidth="1"/>
    <col min="4633" max="4633" width="4.54296875" style="1" bestFit="1" customWidth="1"/>
    <col min="4634" max="4634" width="8.08984375" style="1" bestFit="1" customWidth="1"/>
    <col min="4635" max="4635" width="5.453125" style="1" bestFit="1" customWidth="1"/>
    <col min="4636" max="4636" width="4.90625" style="1" bestFit="1" customWidth="1"/>
    <col min="4637" max="4637" width="2.453125" style="1" customWidth="1"/>
    <col min="4638" max="4638" width="4.54296875" style="1" customWidth="1"/>
    <col min="4639" max="4871" width="2.453125" style="1" customWidth="1"/>
    <col min="4872" max="4872" width="3.08984375" style="1" customWidth="1"/>
    <col min="4873" max="4873" width="3.453125" style="1" customWidth="1"/>
    <col min="4874" max="4874" width="45.54296875" style="1" customWidth="1"/>
    <col min="4875" max="4875" width="8.08984375" style="1" customWidth="1"/>
    <col min="4876" max="4876" width="9.08984375" style="1" bestFit="1" customWidth="1"/>
    <col min="4877" max="4877" width="40.54296875" style="1" customWidth="1"/>
    <col min="4878" max="4884" width="12.90625" style="1" customWidth="1"/>
    <col min="4885" max="4885" width="13.08984375" style="1" customWidth="1"/>
    <col min="4886" max="4886" width="48.08984375" style="1" customWidth="1"/>
    <col min="4887" max="4887" width="4.08984375" style="1" customWidth="1"/>
    <col min="4888" max="4888" width="2.453125" style="1" customWidth="1"/>
    <col min="4889" max="4889" width="4.54296875" style="1" bestFit="1" customWidth="1"/>
    <col min="4890" max="4890" width="8.08984375" style="1" bestFit="1" customWidth="1"/>
    <col min="4891" max="4891" width="5.453125" style="1" bestFit="1" customWidth="1"/>
    <col min="4892" max="4892" width="4.90625" style="1" bestFit="1" customWidth="1"/>
    <col min="4893" max="4893" width="2.453125" style="1" customWidth="1"/>
    <col min="4894" max="4894" width="4.54296875" style="1" customWidth="1"/>
    <col min="4895" max="5127" width="2.453125" style="1" customWidth="1"/>
    <col min="5128" max="5128" width="3.08984375" style="1" customWidth="1"/>
    <col min="5129" max="5129" width="3.453125" style="1" customWidth="1"/>
    <col min="5130" max="5130" width="45.54296875" style="1" customWidth="1"/>
    <col min="5131" max="5131" width="8.08984375" style="1" customWidth="1"/>
    <col min="5132" max="5132" width="9.08984375" style="1" bestFit="1" customWidth="1"/>
    <col min="5133" max="5133" width="40.54296875" style="1" customWidth="1"/>
    <col min="5134" max="5140" width="12.90625" style="1" customWidth="1"/>
    <col min="5141" max="5141" width="13.08984375" style="1" customWidth="1"/>
    <col min="5142" max="5142" width="48.08984375" style="1" customWidth="1"/>
    <col min="5143" max="5143" width="4.08984375" style="1" customWidth="1"/>
    <col min="5144" max="5144" width="2.453125" style="1" customWidth="1"/>
    <col min="5145" max="5145" width="4.54296875" style="1" bestFit="1" customWidth="1"/>
    <col min="5146" max="5146" width="8.08984375" style="1" bestFit="1" customWidth="1"/>
    <col min="5147" max="5147" width="5.453125" style="1" bestFit="1" customWidth="1"/>
    <col min="5148" max="5148" width="4.90625" style="1" bestFit="1" customWidth="1"/>
    <col min="5149" max="5149" width="2.453125" style="1" customWidth="1"/>
    <col min="5150" max="5150" width="4.54296875" style="1" customWidth="1"/>
    <col min="5151" max="5383" width="2.453125" style="1" customWidth="1"/>
    <col min="5384" max="5384" width="3.08984375" style="1" customWidth="1"/>
    <col min="5385" max="5385" width="3.453125" style="1" customWidth="1"/>
    <col min="5386" max="5386" width="45.54296875" style="1" customWidth="1"/>
    <col min="5387" max="5387" width="8.08984375" style="1" customWidth="1"/>
    <col min="5388" max="5388" width="9.08984375" style="1" bestFit="1" customWidth="1"/>
    <col min="5389" max="5389" width="40.54296875" style="1" customWidth="1"/>
    <col min="5390" max="5396" width="12.90625" style="1" customWidth="1"/>
    <col min="5397" max="5397" width="13.08984375" style="1" customWidth="1"/>
    <col min="5398" max="5398" width="48.08984375" style="1" customWidth="1"/>
    <col min="5399" max="5399" width="4.08984375" style="1" customWidth="1"/>
    <col min="5400" max="5400" width="2.453125" style="1" customWidth="1"/>
    <col min="5401" max="5401" width="4.54296875" style="1" bestFit="1" customWidth="1"/>
    <col min="5402" max="5402" width="8.08984375" style="1" bestFit="1" customWidth="1"/>
    <col min="5403" max="5403" width="5.453125" style="1" bestFit="1" customWidth="1"/>
    <col min="5404" max="5404" width="4.90625" style="1" bestFit="1" customWidth="1"/>
    <col min="5405" max="5405" width="2.453125" style="1" customWidth="1"/>
    <col min="5406" max="5406" width="4.54296875" style="1" customWidth="1"/>
    <col min="5407" max="5639" width="2.453125" style="1" customWidth="1"/>
    <col min="5640" max="5640" width="3.08984375" style="1" customWidth="1"/>
    <col min="5641" max="5641" width="3.453125" style="1" customWidth="1"/>
    <col min="5642" max="5642" width="45.54296875" style="1" customWidth="1"/>
    <col min="5643" max="5643" width="8.08984375" style="1" customWidth="1"/>
    <col min="5644" max="5644" width="9.08984375" style="1" bestFit="1" customWidth="1"/>
    <col min="5645" max="5645" width="40.54296875" style="1" customWidth="1"/>
    <col min="5646" max="5652" width="12.90625" style="1" customWidth="1"/>
    <col min="5653" max="5653" width="13.08984375" style="1" customWidth="1"/>
    <col min="5654" max="5654" width="48.08984375" style="1" customWidth="1"/>
    <col min="5655" max="5655" width="4.08984375" style="1" customWidth="1"/>
    <col min="5656" max="5656" width="2.453125" style="1" customWidth="1"/>
    <col min="5657" max="5657" width="4.54296875" style="1" bestFit="1" customWidth="1"/>
    <col min="5658" max="5658" width="8.08984375" style="1" bestFit="1" customWidth="1"/>
    <col min="5659" max="5659" width="5.453125" style="1" bestFit="1" customWidth="1"/>
    <col min="5660" max="5660" width="4.90625" style="1" bestFit="1" customWidth="1"/>
    <col min="5661" max="5661" width="2.453125" style="1" customWidth="1"/>
    <col min="5662" max="5662" width="4.54296875" style="1" customWidth="1"/>
    <col min="5663" max="5895" width="2.453125" style="1" customWidth="1"/>
    <col min="5896" max="5896" width="3.08984375" style="1" customWidth="1"/>
    <col min="5897" max="5897" width="3.453125" style="1" customWidth="1"/>
    <col min="5898" max="5898" width="45.54296875" style="1" customWidth="1"/>
    <col min="5899" max="5899" width="8.08984375" style="1" customWidth="1"/>
    <col min="5900" max="5900" width="9.08984375" style="1" bestFit="1" customWidth="1"/>
    <col min="5901" max="5901" width="40.54296875" style="1" customWidth="1"/>
    <col min="5902" max="5908" width="12.90625" style="1" customWidth="1"/>
    <col min="5909" max="5909" width="13.08984375" style="1" customWidth="1"/>
    <col min="5910" max="5910" width="48.08984375" style="1" customWidth="1"/>
    <col min="5911" max="5911" width="4.08984375" style="1" customWidth="1"/>
    <col min="5912" max="5912" width="2.453125" style="1" customWidth="1"/>
    <col min="5913" max="5913" width="4.54296875" style="1" bestFit="1" customWidth="1"/>
    <col min="5914" max="5914" width="8.08984375" style="1" bestFit="1" customWidth="1"/>
    <col min="5915" max="5915" width="5.453125" style="1" bestFit="1" customWidth="1"/>
    <col min="5916" max="5916" width="4.90625" style="1" bestFit="1" customWidth="1"/>
    <col min="5917" max="5917" width="2.453125" style="1" customWidth="1"/>
    <col min="5918" max="5918" width="4.54296875" style="1" customWidth="1"/>
    <col min="5919" max="6151" width="2.453125" style="1" customWidth="1"/>
    <col min="6152" max="6152" width="3.08984375" style="1" customWidth="1"/>
    <col min="6153" max="6153" width="3.453125" style="1" customWidth="1"/>
    <col min="6154" max="6154" width="45.54296875" style="1" customWidth="1"/>
    <col min="6155" max="6155" width="8.08984375" style="1" customWidth="1"/>
    <col min="6156" max="6156" width="9.08984375" style="1" bestFit="1" customWidth="1"/>
    <col min="6157" max="6157" width="40.54296875" style="1" customWidth="1"/>
    <col min="6158" max="6164" width="12.90625" style="1" customWidth="1"/>
    <col min="6165" max="6165" width="13.08984375" style="1" customWidth="1"/>
    <col min="6166" max="6166" width="48.08984375" style="1" customWidth="1"/>
    <col min="6167" max="6167" width="4.08984375" style="1" customWidth="1"/>
    <col min="6168" max="6168" width="2.453125" style="1" customWidth="1"/>
    <col min="6169" max="6169" width="4.54296875" style="1" bestFit="1" customWidth="1"/>
    <col min="6170" max="6170" width="8.08984375" style="1" bestFit="1" customWidth="1"/>
    <col min="6171" max="6171" width="5.453125" style="1" bestFit="1" customWidth="1"/>
    <col min="6172" max="6172" width="4.90625" style="1" bestFit="1" customWidth="1"/>
    <col min="6173" max="6173" width="2.453125" style="1" customWidth="1"/>
    <col min="6174" max="6174" width="4.54296875" style="1" customWidth="1"/>
    <col min="6175" max="6407" width="2.453125" style="1" customWidth="1"/>
    <col min="6408" max="6408" width="3.08984375" style="1" customWidth="1"/>
    <col min="6409" max="6409" width="3.453125" style="1" customWidth="1"/>
    <col min="6410" max="6410" width="45.54296875" style="1" customWidth="1"/>
    <col min="6411" max="6411" width="8.08984375" style="1" customWidth="1"/>
    <col min="6412" max="6412" width="9.08984375" style="1" bestFit="1" customWidth="1"/>
    <col min="6413" max="6413" width="40.54296875" style="1" customWidth="1"/>
    <col min="6414" max="6420" width="12.90625" style="1" customWidth="1"/>
    <col min="6421" max="6421" width="13.08984375" style="1" customWidth="1"/>
    <col min="6422" max="6422" width="48.08984375" style="1" customWidth="1"/>
    <col min="6423" max="6423" width="4.08984375" style="1" customWidth="1"/>
    <col min="6424" max="6424" width="2.453125" style="1" customWidth="1"/>
    <col min="6425" max="6425" width="4.54296875" style="1" bestFit="1" customWidth="1"/>
    <col min="6426" max="6426" width="8.08984375" style="1" bestFit="1" customWidth="1"/>
    <col min="6427" max="6427" width="5.453125" style="1" bestFit="1" customWidth="1"/>
    <col min="6428" max="6428" width="4.90625" style="1" bestFit="1" customWidth="1"/>
    <col min="6429" max="6429" width="2.453125" style="1" customWidth="1"/>
    <col min="6430" max="6430" width="4.54296875" style="1" customWidth="1"/>
    <col min="6431" max="6663" width="2.453125" style="1" customWidth="1"/>
    <col min="6664" max="6664" width="3.08984375" style="1" customWidth="1"/>
    <col min="6665" max="6665" width="3.453125" style="1" customWidth="1"/>
    <col min="6666" max="6666" width="45.54296875" style="1" customWidth="1"/>
    <col min="6667" max="6667" width="8.08984375" style="1" customWidth="1"/>
    <col min="6668" max="6668" width="9.08984375" style="1" bestFit="1" customWidth="1"/>
    <col min="6669" max="6669" width="40.54296875" style="1" customWidth="1"/>
    <col min="6670" max="6676" width="12.90625" style="1" customWidth="1"/>
    <col min="6677" max="6677" width="13.08984375" style="1" customWidth="1"/>
    <col min="6678" max="6678" width="48.08984375" style="1" customWidth="1"/>
    <col min="6679" max="6679" width="4.08984375" style="1" customWidth="1"/>
    <col min="6680" max="6680" width="2.453125" style="1" customWidth="1"/>
    <col min="6681" max="6681" width="4.54296875" style="1" bestFit="1" customWidth="1"/>
    <col min="6682" max="6682" width="8.08984375" style="1" bestFit="1" customWidth="1"/>
    <col min="6683" max="6683" width="5.453125" style="1" bestFit="1" customWidth="1"/>
    <col min="6684" max="6684" width="4.90625" style="1" bestFit="1" customWidth="1"/>
    <col min="6685" max="6685" width="2.453125" style="1" customWidth="1"/>
    <col min="6686" max="6686" width="4.54296875" style="1" customWidth="1"/>
    <col min="6687" max="6919" width="2.453125" style="1" customWidth="1"/>
    <col min="6920" max="6920" width="3.08984375" style="1" customWidth="1"/>
    <col min="6921" max="6921" width="3.453125" style="1" customWidth="1"/>
    <col min="6922" max="6922" width="45.54296875" style="1" customWidth="1"/>
    <col min="6923" max="6923" width="8.08984375" style="1" customWidth="1"/>
    <col min="6924" max="6924" width="9.08984375" style="1" bestFit="1" customWidth="1"/>
    <col min="6925" max="6925" width="40.54296875" style="1" customWidth="1"/>
    <col min="6926" max="6932" width="12.90625" style="1" customWidth="1"/>
    <col min="6933" max="6933" width="13.08984375" style="1" customWidth="1"/>
    <col min="6934" max="6934" width="48.08984375" style="1" customWidth="1"/>
    <col min="6935" max="6935" width="4.08984375" style="1" customWidth="1"/>
    <col min="6936" max="6936" width="2.453125" style="1" customWidth="1"/>
    <col min="6937" max="6937" width="4.54296875" style="1" bestFit="1" customWidth="1"/>
    <col min="6938" max="6938" width="8.08984375" style="1" bestFit="1" customWidth="1"/>
    <col min="6939" max="6939" width="5.453125" style="1" bestFit="1" customWidth="1"/>
    <col min="6940" max="6940" width="4.90625" style="1" bestFit="1" customWidth="1"/>
    <col min="6941" max="6941" width="2.453125" style="1" customWidth="1"/>
    <col min="6942" max="6942" width="4.54296875" style="1" customWidth="1"/>
    <col min="6943" max="7175" width="2.453125" style="1" customWidth="1"/>
    <col min="7176" max="7176" width="3.08984375" style="1" customWidth="1"/>
    <col min="7177" max="7177" width="3.453125" style="1" customWidth="1"/>
    <col min="7178" max="7178" width="45.54296875" style="1" customWidth="1"/>
    <col min="7179" max="7179" width="8.08984375" style="1" customWidth="1"/>
    <col min="7180" max="7180" width="9.08984375" style="1" bestFit="1" customWidth="1"/>
    <col min="7181" max="7181" width="40.54296875" style="1" customWidth="1"/>
    <col min="7182" max="7188" width="12.90625" style="1" customWidth="1"/>
    <col min="7189" max="7189" width="13.08984375" style="1" customWidth="1"/>
    <col min="7190" max="7190" width="48.08984375" style="1" customWidth="1"/>
    <col min="7191" max="7191" width="4.08984375" style="1" customWidth="1"/>
    <col min="7192" max="7192" width="2.453125" style="1" customWidth="1"/>
    <col min="7193" max="7193" width="4.54296875" style="1" bestFit="1" customWidth="1"/>
    <col min="7194" max="7194" width="8.08984375" style="1" bestFit="1" customWidth="1"/>
    <col min="7195" max="7195" width="5.453125" style="1" bestFit="1" customWidth="1"/>
    <col min="7196" max="7196" width="4.90625" style="1" bestFit="1" customWidth="1"/>
    <col min="7197" max="7197" width="2.453125" style="1" customWidth="1"/>
    <col min="7198" max="7198" width="4.54296875" style="1" customWidth="1"/>
    <col min="7199" max="7431" width="2.453125" style="1" customWidth="1"/>
    <col min="7432" max="7432" width="3.08984375" style="1" customWidth="1"/>
    <col min="7433" max="7433" width="3.453125" style="1" customWidth="1"/>
    <col min="7434" max="7434" width="45.54296875" style="1" customWidth="1"/>
    <col min="7435" max="7435" width="8.08984375" style="1" customWidth="1"/>
    <col min="7436" max="7436" width="9.08984375" style="1" bestFit="1" customWidth="1"/>
    <col min="7437" max="7437" width="40.54296875" style="1" customWidth="1"/>
    <col min="7438" max="7444" width="12.90625" style="1" customWidth="1"/>
    <col min="7445" max="7445" width="13.08984375" style="1" customWidth="1"/>
    <col min="7446" max="7446" width="48.08984375" style="1" customWidth="1"/>
    <col min="7447" max="7447" width="4.08984375" style="1" customWidth="1"/>
    <col min="7448" max="7448" width="2.453125" style="1" customWidth="1"/>
    <col min="7449" max="7449" width="4.54296875" style="1" bestFit="1" customWidth="1"/>
    <col min="7450" max="7450" width="8.08984375" style="1" bestFit="1" customWidth="1"/>
    <col min="7451" max="7451" width="5.453125" style="1" bestFit="1" customWidth="1"/>
    <col min="7452" max="7452" width="4.90625" style="1" bestFit="1" customWidth="1"/>
    <col min="7453" max="7453" width="2.453125" style="1" customWidth="1"/>
    <col min="7454" max="7454" width="4.54296875" style="1" customWidth="1"/>
    <col min="7455" max="7687" width="2.453125" style="1" customWidth="1"/>
    <col min="7688" max="7688" width="3.08984375" style="1" customWidth="1"/>
    <col min="7689" max="7689" width="3.453125" style="1" customWidth="1"/>
    <col min="7690" max="7690" width="45.54296875" style="1" customWidth="1"/>
    <col min="7691" max="7691" width="8.08984375" style="1" customWidth="1"/>
    <col min="7692" max="7692" width="9.08984375" style="1" bestFit="1" customWidth="1"/>
    <col min="7693" max="7693" width="40.54296875" style="1" customWidth="1"/>
    <col min="7694" max="7700" width="12.90625" style="1" customWidth="1"/>
    <col min="7701" max="7701" width="13.08984375" style="1" customWidth="1"/>
    <col min="7702" max="7702" width="48.08984375" style="1" customWidth="1"/>
    <col min="7703" max="7703" width="4.08984375" style="1" customWidth="1"/>
    <col min="7704" max="7704" width="2.453125" style="1" customWidth="1"/>
    <col min="7705" max="7705" width="4.54296875" style="1" bestFit="1" customWidth="1"/>
    <col min="7706" max="7706" width="8.08984375" style="1" bestFit="1" customWidth="1"/>
    <col min="7707" max="7707" width="5.453125" style="1" bestFit="1" customWidth="1"/>
    <col min="7708" max="7708" width="4.90625" style="1" bestFit="1" customWidth="1"/>
    <col min="7709" max="7709" width="2.453125" style="1" customWidth="1"/>
    <col min="7710" max="7710" width="4.54296875" style="1" customWidth="1"/>
    <col min="7711" max="7943" width="2.453125" style="1" customWidth="1"/>
    <col min="7944" max="7944" width="3.08984375" style="1" customWidth="1"/>
    <col min="7945" max="7945" width="3.453125" style="1" customWidth="1"/>
    <col min="7946" max="7946" width="45.54296875" style="1" customWidth="1"/>
    <col min="7947" max="7947" width="8.08984375" style="1" customWidth="1"/>
    <col min="7948" max="7948" width="9.08984375" style="1" bestFit="1" customWidth="1"/>
    <col min="7949" max="7949" width="40.54296875" style="1" customWidth="1"/>
    <col min="7950" max="7956" width="12.90625" style="1" customWidth="1"/>
    <col min="7957" max="7957" width="13.08984375" style="1" customWidth="1"/>
    <col min="7958" max="7958" width="48.08984375" style="1" customWidth="1"/>
    <col min="7959" max="7959" width="4.08984375" style="1" customWidth="1"/>
    <col min="7960" max="7960" width="2.453125" style="1" customWidth="1"/>
    <col min="7961" max="7961" width="4.54296875" style="1" bestFit="1" customWidth="1"/>
    <col min="7962" max="7962" width="8.08984375" style="1" bestFit="1" customWidth="1"/>
    <col min="7963" max="7963" width="5.453125" style="1" bestFit="1" customWidth="1"/>
    <col min="7964" max="7964" width="4.90625" style="1" bestFit="1" customWidth="1"/>
    <col min="7965" max="7965" width="2.453125" style="1" customWidth="1"/>
    <col min="7966" max="7966" width="4.54296875" style="1" customWidth="1"/>
    <col min="7967" max="8199" width="2.453125" style="1" customWidth="1"/>
    <col min="8200" max="8200" width="3.08984375" style="1" customWidth="1"/>
    <col min="8201" max="8201" width="3.453125" style="1" customWidth="1"/>
    <col min="8202" max="8202" width="45.54296875" style="1" customWidth="1"/>
    <col min="8203" max="8203" width="8.08984375" style="1" customWidth="1"/>
    <col min="8204" max="8204" width="9.08984375" style="1" bestFit="1" customWidth="1"/>
    <col min="8205" max="8205" width="40.54296875" style="1" customWidth="1"/>
    <col min="8206" max="8212" width="12.90625" style="1" customWidth="1"/>
    <col min="8213" max="8213" width="13.08984375" style="1" customWidth="1"/>
    <col min="8214" max="8214" width="48.08984375" style="1" customWidth="1"/>
    <col min="8215" max="8215" width="4.08984375" style="1" customWidth="1"/>
    <col min="8216" max="8216" width="2.453125" style="1" customWidth="1"/>
    <col min="8217" max="8217" width="4.54296875" style="1" bestFit="1" customWidth="1"/>
    <col min="8218" max="8218" width="8.08984375" style="1" bestFit="1" customWidth="1"/>
    <col min="8219" max="8219" width="5.453125" style="1" bestFit="1" customWidth="1"/>
    <col min="8220" max="8220" width="4.90625" style="1" bestFit="1" customWidth="1"/>
    <col min="8221" max="8221" width="2.453125" style="1" customWidth="1"/>
    <col min="8222" max="8222" width="4.54296875" style="1" customWidth="1"/>
    <col min="8223" max="8455" width="2.453125" style="1" customWidth="1"/>
    <col min="8456" max="8456" width="3.08984375" style="1" customWidth="1"/>
    <col min="8457" max="8457" width="3.453125" style="1" customWidth="1"/>
    <col min="8458" max="8458" width="45.54296875" style="1" customWidth="1"/>
    <col min="8459" max="8459" width="8.08984375" style="1" customWidth="1"/>
    <col min="8460" max="8460" width="9.08984375" style="1" bestFit="1" customWidth="1"/>
    <col min="8461" max="8461" width="40.54296875" style="1" customWidth="1"/>
    <col min="8462" max="8468" width="12.90625" style="1" customWidth="1"/>
    <col min="8469" max="8469" width="13.08984375" style="1" customWidth="1"/>
    <col min="8470" max="8470" width="48.08984375" style="1" customWidth="1"/>
    <col min="8471" max="8471" width="4.08984375" style="1" customWidth="1"/>
    <col min="8472" max="8472" width="2.453125" style="1" customWidth="1"/>
    <col min="8473" max="8473" width="4.54296875" style="1" bestFit="1" customWidth="1"/>
    <col min="8474" max="8474" width="8.08984375" style="1" bestFit="1" customWidth="1"/>
    <col min="8475" max="8475" width="5.453125" style="1" bestFit="1" customWidth="1"/>
    <col min="8476" max="8476" width="4.90625" style="1" bestFit="1" customWidth="1"/>
    <col min="8477" max="8477" width="2.453125" style="1" customWidth="1"/>
    <col min="8478" max="8478" width="4.54296875" style="1" customWidth="1"/>
    <col min="8479" max="8711" width="2.453125" style="1" customWidth="1"/>
    <col min="8712" max="8712" width="3.08984375" style="1" customWidth="1"/>
    <col min="8713" max="8713" width="3.453125" style="1" customWidth="1"/>
    <col min="8714" max="8714" width="45.54296875" style="1" customWidth="1"/>
    <col min="8715" max="8715" width="8.08984375" style="1" customWidth="1"/>
    <col min="8716" max="8716" width="9.08984375" style="1" bestFit="1" customWidth="1"/>
    <col min="8717" max="8717" width="40.54296875" style="1" customWidth="1"/>
    <col min="8718" max="8724" width="12.90625" style="1" customWidth="1"/>
    <col min="8725" max="8725" width="13.08984375" style="1" customWidth="1"/>
    <col min="8726" max="8726" width="48.08984375" style="1" customWidth="1"/>
    <col min="8727" max="8727" width="4.08984375" style="1" customWidth="1"/>
    <col min="8728" max="8728" width="2.453125" style="1" customWidth="1"/>
    <col min="8729" max="8729" width="4.54296875" style="1" bestFit="1" customWidth="1"/>
    <col min="8730" max="8730" width="8.08984375" style="1" bestFit="1" customWidth="1"/>
    <col min="8731" max="8731" width="5.453125" style="1" bestFit="1" customWidth="1"/>
    <col min="8732" max="8732" width="4.90625" style="1" bestFit="1" customWidth="1"/>
    <col min="8733" max="8733" width="2.453125" style="1" customWidth="1"/>
    <col min="8734" max="8734" width="4.54296875" style="1" customWidth="1"/>
    <col min="8735" max="8967" width="2.453125" style="1" customWidth="1"/>
    <col min="8968" max="8968" width="3.08984375" style="1" customWidth="1"/>
    <col min="8969" max="8969" width="3.453125" style="1" customWidth="1"/>
    <col min="8970" max="8970" width="45.54296875" style="1" customWidth="1"/>
    <col min="8971" max="8971" width="8.08984375" style="1" customWidth="1"/>
    <col min="8972" max="8972" width="9.08984375" style="1" bestFit="1" customWidth="1"/>
    <col min="8973" max="8973" width="40.54296875" style="1" customWidth="1"/>
    <col min="8974" max="8980" width="12.90625" style="1" customWidth="1"/>
    <col min="8981" max="8981" width="13.08984375" style="1" customWidth="1"/>
    <col min="8982" max="8982" width="48.08984375" style="1" customWidth="1"/>
    <col min="8983" max="8983" width="4.08984375" style="1" customWidth="1"/>
    <col min="8984" max="8984" width="2.453125" style="1" customWidth="1"/>
    <col min="8985" max="8985" width="4.54296875" style="1" bestFit="1" customWidth="1"/>
    <col min="8986" max="8986" width="8.08984375" style="1" bestFit="1" customWidth="1"/>
    <col min="8987" max="8987" width="5.453125" style="1" bestFit="1" customWidth="1"/>
    <col min="8988" max="8988" width="4.90625" style="1" bestFit="1" customWidth="1"/>
    <col min="8989" max="8989" width="2.453125" style="1" customWidth="1"/>
    <col min="8990" max="8990" width="4.54296875" style="1" customWidth="1"/>
    <col min="8991" max="9223" width="2.453125" style="1" customWidth="1"/>
    <col min="9224" max="9224" width="3.08984375" style="1" customWidth="1"/>
    <col min="9225" max="9225" width="3.453125" style="1" customWidth="1"/>
    <col min="9226" max="9226" width="45.54296875" style="1" customWidth="1"/>
    <col min="9227" max="9227" width="8.08984375" style="1" customWidth="1"/>
    <col min="9228" max="9228" width="9.08984375" style="1" bestFit="1" customWidth="1"/>
    <col min="9229" max="9229" width="40.54296875" style="1" customWidth="1"/>
    <col min="9230" max="9236" width="12.90625" style="1" customWidth="1"/>
    <col min="9237" max="9237" width="13.08984375" style="1" customWidth="1"/>
    <col min="9238" max="9238" width="48.08984375" style="1" customWidth="1"/>
    <col min="9239" max="9239" width="4.08984375" style="1" customWidth="1"/>
    <col min="9240" max="9240" width="2.453125" style="1" customWidth="1"/>
    <col min="9241" max="9241" width="4.54296875" style="1" bestFit="1" customWidth="1"/>
    <col min="9242" max="9242" width="8.08984375" style="1" bestFit="1" customWidth="1"/>
    <col min="9243" max="9243" width="5.453125" style="1" bestFit="1" customWidth="1"/>
    <col min="9244" max="9244" width="4.90625" style="1" bestFit="1" customWidth="1"/>
    <col min="9245" max="9245" width="2.453125" style="1" customWidth="1"/>
    <col min="9246" max="9246" width="4.54296875" style="1" customWidth="1"/>
    <col min="9247" max="9479" width="2.453125" style="1" customWidth="1"/>
    <col min="9480" max="9480" width="3.08984375" style="1" customWidth="1"/>
    <col min="9481" max="9481" width="3.453125" style="1" customWidth="1"/>
    <col min="9482" max="9482" width="45.54296875" style="1" customWidth="1"/>
    <col min="9483" max="9483" width="8.08984375" style="1" customWidth="1"/>
    <col min="9484" max="9484" width="9.08984375" style="1" bestFit="1" customWidth="1"/>
    <col min="9485" max="9485" width="40.54296875" style="1" customWidth="1"/>
    <col min="9486" max="9492" width="12.90625" style="1" customWidth="1"/>
    <col min="9493" max="9493" width="13.08984375" style="1" customWidth="1"/>
    <col min="9494" max="9494" width="48.08984375" style="1" customWidth="1"/>
    <col min="9495" max="9495" width="4.08984375" style="1" customWidth="1"/>
    <col min="9496" max="9496" width="2.453125" style="1" customWidth="1"/>
    <col min="9497" max="9497" width="4.54296875" style="1" bestFit="1" customWidth="1"/>
    <col min="9498" max="9498" width="8.08984375" style="1" bestFit="1" customWidth="1"/>
    <col min="9499" max="9499" width="5.453125" style="1" bestFit="1" customWidth="1"/>
    <col min="9500" max="9500" width="4.90625" style="1" bestFit="1" customWidth="1"/>
    <col min="9501" max="9501" width="2.453125" style="1" customWidth="1"/>
    <col min="9502" max="9502" width="4.54296875" style="1" customWidth="1"/>
    <col min="9503" max="9735" width="2.453125" style="1" customWidth="1"/>
    <col min="9736" max="9736" width="3.08984375" style="1" customWidth="1"/>
    <col min="9737" max="9737" width="3.453125" style="1" customWidth="1"/>
    <col min="9738" max="9738" width="45.54296875" style="1" customWidth="1"/>
    <col min="9739" max="9739" width="8.08984375" style="1" customWidth="1"/>
    <col min="9740" max="9740" width="9.08984375" style="1" bestFit="1" customWidth="1"/>
    <col min="9741" max="9741" width="40.54296875" style="1" customWidth="1"/>
    <col min="9742" max="9748" width="12.90625" style="1" customWidth="1"/>
    <col min="9749" max="9749" width="13.08984375" style="1" customWidth="1"/>
    <col min="9750" max="9750" width="48.08984375" style="1" customWidth="1"/>
    <col min="9751" max="9751" width="4.08984375" style="1" customWidth="1"/>
    <col min="9752" max="9752" width="2.453125" style="1" customWidth="1"/>
    <col min="9753" max="9753" width="4.54296875" style="1" bestFit="1" customWidth="1"/>
    <col min="9754" max="9754" width="8.08984375" style="1" bestFit="1" customWidth="1"/>
    <col min="9755" max="9755" width="5.453125" style="1" bestFit="1" customWidth="1"/>
    <col min="9756" max="9756" width="4.90625" style="1" bestFit="1" customWidth="1"/>
    <col min="9757" max="9757" width="2.453125" style="1" customWidth="1"/>
    <col min="9758" max="9758" width="4.54296875" style="1" customWidth="1"/>
    <col min="9759" max="9991" width="2.453125" style="1" customWidth="1"/>
    <col min="9992" max="9992" width="3.08984375" style="1" customWidth="1"/>
    <col min="9993" max="9993" width="3.453125" style="1" customWidth="1"/>
    <col min="9994" max="9994" width="45.54296875" style="1" customWidth="1"/>
    <col min="9995" max="9995" width="8.08984375" style="1" customWidth="1"/>
    <col min="9996" max="9996" width="9.08984375" style="1" bestFit="1" customWidth="1"/>
    <col min="9997" max="9997" width="40.54296875" style="1" customWidth="1"/>
    <col min="9998" max="10004" width="12.90625" style="1" customWidth="1"/>
    <col min="10005" max="10005" width="13.08984375" style="1" customWidth="1"/>
    <col min="10006" max="10006" width="48.08984375" style="1" customWidth="1"/>
    <col min="10007" max="10007" width="4.08984375" style="1" customWidth="1"/>
    <col min="10008" max="10008" width="2.453125" style="1" customWidth="1"/>
    <col min="10009" max="10009" width="4.54296875" style="1" bestFit="1" customWidth="1"/>
    <col min="10010" max="10010" width="8.08984375" style="1" bestFit="1" customWidth="1"/>
    <col min="10011" max="10011" width="5.453125" style="1" bestFit="1" customWidth="1"/>
    <col min="10012" max="10012" width="4.90625" style="1" bestFit="1" customWidth="1"/>
    <col min="10013" max="10013" width="2.453125" style="1" customWidth="1"/>
    <col min="10014" max="10014" width="4.54296875" style="1" customWidth="1"/>
    <col min="10015" max="10247" width="2.453125" style="1" customWidth="1"/>
    <col min="10248" max="10248" width="3.08984375" style="1" customWidth="1"/>
    <col min="10249" max="10249" width="3.453125" style="1" customWidth="1"/>
    <col min="10250" max="10250" width="45.54296875" style="1" customWidth="1"/>
    <col min="10251" max="10251" width="8.08984375" style="1" customWidth="1"/>
    <col min="10252" max="10252" width="9.08984375" style="1" bestFit="1" customWidth="1"/>
    <col min="10253" max="10253" width="40.54296875" style="1" customWidth="1"/>
    <col min="10254" max="10260" width="12.90625" style="1" customWidth="1"/>
    <col min="10261" max="10261" width="13.08984375" style="1" customWidth="1"/>
    <col min="10262" max="10262" width="48.08984375" style="1" customWidth="1"/>
    <col min="10263" max="10263" width="4.08984375" style="1" customWidth="1"/>
    <col min="10264" max="10264" width="2.453125" style="1" customWidth="1"/>
    <col min="10265" max="10265" width="4.54296875" style="1" bestFit="1" customWidth="1"/>
    <col min="10266" max="10266" width="8.08984375" style="1" bestFit="1" customWidth="1"/>
    <col min="10267" max="10267" width="5.453125" style="1" bestFit="1" customWidth="1"/>
    <col min="10268" max="10268" width="4.90625" style="1" bestFit="1" customWidth="1"/>
    <col min="10269" max="10269" width="2.453125" style="1" customWidth="1"/>
    <col min="10270" max="10270" width="4.54296875" style="1" customWidth="1"/>
    <col min="10271" max="10503" width="2.453125" style="1" customWidth="1"/>
    <col min="10504" max="10504" width="3.08984375" style="1" customWidth="1"/>
    <col min="10505" max="10505" width="3.453125" style="1" customWidth="1"/>
    <col min="10506" max="10506" width="45.54296875" style="1" customWidth="1"/>
    <col min="10507" max="10507" width="8.08984375" style="1" customWidth="1"/>
    <col min="10508" max="10508" width="9.08984375" style="1" bestFit="1" customWidth="1"/>
    <col min="10509" max="10509" width="40.54296875" style="1" customWidth="1"/>
    <col min="10510" max="10516" width="12.90625" style="1" customWidth="1"/>
    <col min="10517" max="10517" width="13.08984375" style="1" customWidth="1"/>
    <col min="10518" max="10518" width="48.08984375" style="1" customWidth="1"/>
    <col min="10519" max="10519" width="4.08984375" style="1" customWidth="1"/>
    <col min="10520" max="10520" width="2.453125" style="1" customWidth="1"/>
    <col min="10521" max="10521" width="4.54296875" style="1" bestFit="1" customWidth="1"/>
    <col min="10522" max="10522" width="8.08984375" style="1" bestFit="1" customWidth="1"/>
    <col min="10523" max="10523" width="5.453125" style="1" bestFit="1" customWidth="1"/>
    <col min="10524" max="10524" width="4.90625" style="1" bestFit="1" customWidth="1"/>
    <col min="10525" max="10525" width="2.453125" style="1" customWidth="1"/>
    <col min="10526" max="10526" width="4.54296875" style="1" customWidth="1"/>
    <col min="10527" max="10759" width="2.453125" style="1" customWidth="1"/>
    <col min="10760" max="10760" width="3.08984375" style="1" customWidth="1"/>
    <col min="10761" max="10761" width="3.453125" style="1" customWidth="1"/>
    <col min="10762" max="10762" width="45.54296875" style="1" customWidth="1"/>
    <col min="10763" max="10763" width="8.08984375" style="1" customWidth="1"/>
    <col min="10764" max="10764" width="9.08984375" style="1" bestFit="1" customWidth="1"/>
    <col min="10765" max="10765" width="40.54296875" style="1" customWidth="1"/>
    <col min="10766" max="10772" width="12.90625" style="1" customWidth="1"/>
    <col min="10773" max="10773" width="13.08984375" style="1" customWidth="1"/>
    <col min="10774" max="10774" width="48.08984375" style="1" customWidth="1"/>
    <col min="10775" max="10775" width="4.08984375" style="1" customWidth="1"/>
    <col min="10776" max="10776" width="2.453125" style="1" customWidth="1"/>
    <col min="10777" max="10777" width="4.54296875" style="1" bestFit="1" customWidth="1"/>
    <col min="10778" max="10778" width="8.08984375" style="1" bestFit="1" customWidth="1"/>
    <col min="10779" max="10779" width="5.453125" style="1" bestFit="1" customWidth="1"/>
    <col min="10780" max="10780" width="4.90625" style="1" bestFit="1" customWidth="1"/>
    <col min="10781" max="10781" width="2.453125" style="1" customWidth="1"/>
    <col min="10782" max="10782" width="4.54296875" style="1" customWidth="1"/>
    <col min="10783" max="11015" width="2.453125" style="1" customWidth="1"/>
    <col min="11016" max="11016" width="3.08984375" style="1" customWidth="1"/>
    <col min="11017" max="11017" width="3.453125" style="1" customWidth="1"/>
    <col min="11018" max="11018" width="45.54296875" style="1" customWidth="1"/>
    <col min="11019" max="11019" width="8.08984375" style="1" customWidth="1"/>
    <col min="11020" max="11020" width="9.08984375" style="1" bestFit="1" customWidth="1"/>
    <col min="11021" max="11021" width="40.54296875" style="1" customWidth="1"/>
    <col min="11022" max="11028" width="12.90625" style="1" customWidth="1"/>
    <col min="11029" max="11029" width="13.08984375" style="1" customWidth="1"/>
    <col min="11030" max="11030" width="48.08984375" style="1" customWidth="1"/>
    <col min="11031" max="11031" width="4.08984375" style="1" customWidth="1"/>
    <col min="11032" max="11032" width="2.453125" style="1" customWidth="1"/>
    <col min="11033" max="11033" width="4.54296875" style="1" bestFit="1" customWidth="1"/>
    <col min="11034" max="11034" width="8.08984375" style="1" bestFit="1" customWidth="1"/>
    <col min="11035" max="11035" width="5.453125" style="1" bestFit="1" customWidth="1"/>
    <col min="11036" max="11036" width="4.90625" style="1" bestFit="1" customWidth="1"/>
    <col min="11037" max="11037" width="2.453125" style="1" customWidth="1"/>
    <col min="11038" max="11038" width="4.54296875" style="1" customWidth="1"/>
    <col min="11039" max="11271" width="2.453125" style="1" customWidth="1"/>
    <col min="11272" max="11272" width="3.08984375" style="1" customWidth="1"/>
    <col min="11273" max="11273" width="3.453125" style="1" customWidth="1"/>
    <col min="11274" max="11274" width="45.54296875" style="1" customWidth="1"/>
    <col min="11275" max="11275" width="8.08984375" style="1" customWidth="1"/>
    <col min="11276" max="11276" width="9.08984375" style="1" bestFit="1" customWidth="1"/>
    <col min="11277" max="11277" width="40.54296875" style="1" customWidth="1"/>
    <col min="11278" max="11284" width="12.90625" style="1" customWidth="1"/>
    <col min="11285" max="11285" width="13.08984375" style="1" customWidth="1"/>
    <col min="11286" max="11286" width="48.08984375" style="1" customWidth="1"/>
    <col min="11287" max="11287" width="4.08984375" style="1" customWidth="1"/>
    <col min="11288" max="11288" width="2.453125" style="1" customWidth="1"/>
    <col min="11289" max="11289" width="4.54296875" style="1" bestFit="1" customWidth="1"/>
    <col min="11290" max="11290" width="8.08984375" style="1" bestFit="1" customWidth="1"/>
    <col min="11291" max="11291" width="5.453125" style="1" bestFit="1" customWidth="1"/>
    <col min="11292" max="11292" width="4.90625" style="1" bestFit="1" customWidth="1"/>
    <col min="11293" max="11293" width="2.453125" style="1" customWidth="1"/>
    <col min="11294" max="11294" width="4.54296875" style="1" customWidth="1"/>
    <col min="11295" max="11527" width="2.453125" style="1" customWidth="1"/>
    <col min="11528" max="11528" width="3.08984375" style="1" customWidth="1"/>
    <col min="11529" max="11529" width="3.453125" style="1" customWidth="1"/>
    <col min="11530" max="11530" width="45.54296875" style="1" customWidth="1"/>
    <col min="11531" max="11531" width="8.08984375" style="1" customWidth="1"/>
    <col min="11532" max="11532" width="9.08984375" style="1" bestFit="1" customWidth="1"/>
    <col min="11533" max="11533" width="40.54296875" style="1" customWidth="1"/>
    <col min="11534" max="11540" width="12.90625" style="1" customWidth="1"/>
    <col min="11541" max="11541" width="13.08984375" style="1" customWidth="1"/>
    <col min="11542" max="11542" width="48.08984375" style="1" customWidth="1"/>
    <col min="11543" max="11543" width="4.08984375" style="1" customWidth="1"/>
    <col min="11544" max="11544" width="2.453125" style="1" customWidth="1"/>
    <col min="11545" max="11545" width="4.54296875" style="1" bestFit="1" customWidth="1"/>
    <col min="11546" max="11546" width="8.08984375" style="1" bestFit="1" customWidth="1"/>
    <col min="11547" max="11547" width="5.453125" style="1" bestFit="1" customWidth="1"/>
    <col min="11548" max="11548" width="4.90625" style="1" bestFit="1" customWidth="1"/>
    <col min="11549" max="11549" width="2.453125" style="1" customWidth="1"/>
    <col min="11550" max="11550" width="4.54296875" style="1" customWidth="1"/>
    <col min="11551" max="11783" width="2.453125" style="1" customWidth="1"/>
    <col min="11784" max="11784" width="3.08984375" style="1" customWidth="1"/>
    <col min="11785" max="11785" width="3.453125" style="1" customWidth="1"/>
    <col min="11786" max="11786" width="45.54296875" style="1" customWidth="1"/>
    <col min="11787" max="11787" width="8.08984375" style="1" customWidth="1"/>
    <col min="11788" max="11788" width="9.08984375" style="1" bestFit="1" customWidth="1"/>
    <col min="11789" max="11789" width="40.54296875" style="1" customWidth="1"/>
    <col min="11790" max="11796" width="12.90625" style="1" customWidth="1"/>
    <col min="11797" max="11797" width="13.08984375" style="1" customWidth="1"/>
    <col min="11798" max="11798" width="48.08984375" style="1" customWidth="1"/>
    <col min="11799" max="11799" width="4.08984375" style="1" customWidth="1"/>
    <col min="11800" max="11800" width="2.453125" style="1" customWidth="1"/>
    <col min="11801" max="11801" width="4.54296875" style="1" bestFit="1" customWidth="1"/>
    <col min="11802" max="11802" width="8.08984375" style="1" bestFit="1" customWidth="1"/>
    <col min="11803" max="11803" width="5.453125" style="1" bestFit="1" customWidth="1"/>
    <col min="11804" max="11804" width="4.90625" style="1" bestFit="1" customWidth="1"/>
    <col min="11805" max="11805" width="2.453125" style="1" customWidth="1"/>
    <col min="11806" max="11806" width="4.54296875" style="1" customWidth="1"/>
    <col min="11807" max="12039" width="2.453125" style="1" customWidth="1"/>
    <col min="12040" max="12040" width="3.08984375" style="1" customWidth="1"/>
    <col min="12041" max="12041" width="3.453125" style="1" customWidth="1"/>
    <col min="12042" max="12042" width="45.54296875" style="1" customWidth="1"/>
    <col min="12043" max="12043" width="8.08984375" style="1" customWidth="1"/>
    <col min="12044" max="12044" width="9.08984375" style="1" bestFit="1" customWidth="1"/>
    <col min="12045" max="12045" width="40.54296875" style="1" customWidth="1"/>
    <col min="12046" max="12052" width="12.90625" style="1" customWidth="1"/>
    <col min="12053" max="12053" width="13.08984375" style="1" customWidth="1"/>
    <col min="12054" max="12054" width="48.08984375" style="1" customWidth="1"/>
    <col min="12055" max="12055" width="4.08984375" style="1" customWidth="1"/>
    <col min="12056" max="12056" width="2.453125" style="1" customWidth="1"/>
    <col min="12057" max="12057" width="4.54296875" style="1" bestFit="1" customWidth="1"/>
    <col min="12058" max="12058" width="8.08984375" style="1" bestFit="1" customWidth="1"/>
    <col min="12059" max="12059" width="5.453125" style="1" bestFit="1" customWidth="1"/>
    <col min="12060" max="12060" width="4.90625" style="1" bestFit="1" customWidth="1"/>
    <col min="12061" max="12061" width="2.453125" style="1" customWidth="1"/>
    <col min="12062" max="12062" width="4.54296875" style="1" customWidth="1"/>
    <col min="12063" max="12295" width="2.453125" style="1" customWidth="1"/>
    <col min="12296" max="12296" width="3.08984375" style="1" customWidth="1"/>
    <col min="12297" max="12297" width="3.453125" style="1" customWidth="1"/>
    <col min="12298" max="12298" width="45.54296875" style="1" customWidth="1"/>
    <col min="12299" max="12299" width="8.08984375" style="1" customWidth="1"/>
    <col min="12300" max="12300" width="9.08984375" style="1" bestFit="1" customWidth="1"/>
    <col min="12301" max="12301" width="40.54296875" style="1" customWidth="1"/>
    <col min="12302" max="12308" width="12.90625" style="1" customWidth="1"/>
    <col min="12309" max="12309" width="13.08984375" style="1" customWidth="1"/>
    <col min="12310" max="12310" width="48.08984375" style="1" customWidth="1"/>
    <col min="12311" max="12311" width="4.08984375" style="1" customWidth="1"/>
    <col min="12312" max="12312" width="2.453125" style="1" customWidth="1"/>
    <col min="12313" max="12313" width="4.54296875" style="1" bestFit="1" customWidth="1"/>
    <col min="12314" max="12314" width="8.08984375" style="1" bestFit="1" customWidth="1"/>
    <col min="12315" max="12315" width="5.453125" style="1" bestFit="1" customWidth="1"/>
    <col min="12316" max="12316" width="4.90625" style="1" bestFit="1" customWidth="1"/>
    <col min="12317" max="12317" width="2.453125" style="1" customWidth="1"/>
    <col min="12318" max="12318" width="4.54296875" style="1" customWidth="1"/>
    <col min="12319" max="12551" width="2.453125" style="1" customWidth="1"/>
    <col min="12552" max="12552" width="3.08984375" style="1" customWidth="1"/>
    <col min="12553" max="12553" width="3.453125" style="1" customWidth="1"/>
    <col min="12554" max="12554" width="45.54296875" style="1" customWidth="1"/>
    <col min="12555" max="12555" width="8.08984375" style="1" customWidth="1"/>
    <col min="12556" max="12556" width="9.08984375" style="1" bestFit="1" customWidth="1"/>
    <col min="12557" max="12557" width="40.54296875" style="1" customWidth="1"/>
    <col min="12558" max="12564" width="12.90625" style="1" customWidth="1"/>
    <col min="12565" max="12565" width="13.08984375" style="1" customWidth="1"/>
    <col min="12566" max="12566" width="48.08984375" style="1" customWidth="1"/>
    <col min="12567" max="12567" width="4.08984375" style="1" customWidth="1"/>
    <col min="12568" max="12568" width="2.453125" style="1" customWidth="1"/>
    <col min="12569" max="12569" width="4.54296875" style="1" bestFit="1" customWidth="1"/>
    <col min="12570" max="12570" width="8.08984375" style="1" bestFit="1" customWidth="1"/>
    <col min="12571" max="12571" width="5.453125" style="1" bestFit="1" customWidth="1"/>
    <col min="12572" max="12572" width="4.90625" style="1" bestFit="1" customWidth="1"/>
    <col min="12573" max="12573" width="2.453125" style="1" customWidth="1"/>
    <col min="12574" max="12574" width="4.54296875" style="1" customWidth="1"/>
    <col min="12575" max="12807" width="2.453125" style="1" customWidth="1"/>
    <col min="12808" max="12808" width="3.08984375" style="1" customWidth="1"/>
    <col min="12809" max="12809" width="3.453125" style="1" customWidth="1"/>
    <col min="12810" max="12810" width="45.54296875" style="1" customWidth="1"/>
    <col min="12811" max="12811" width="8.08984375" style="1" customWidth="1"/>
    <col min="12812" max="12812" width="9.08984375" style="1" bestFit="1" customWidth="1"/>
    <col min="12813" max="12813" width="40.54296875" style="1" customWidth="1"/>
    <col min="12814" max="12820" width="12.90625" style="1" customWidth="1"/>
    <col min="12821" max="12821" width="13.08984375" style="1" customWidth="1"/>
    <col min="12822" max="12822" width="48.08984375" style="1" customWidth="1"/>
    <col min="12823" max="12823" width="4.08984375" style="1" customWidth="1"/>
    <col min="12824" max="12824" width="2.453125" style="1" customWidth="1"/>
    <col min="12825" max="12825" width="4.54296875" style="1" bestFit="1" customWidth="1"/>
    <col min="12826" max="12826" width="8.08984375" style="1" bestFit="1" customWidth="1"/>
    <col min="12827" max="12827" width="5.453125" style="1" bestFit="1" customWidth="1"/>
    <col min="12828" max="12828" width="4.90625" style="1" bestFit="1" customWidth="1"/>
    <col min="12829" max="12829" width="2.453125" style="1" customWidth="1"/>
    <col min="12830" max="12830" width="4.54296875" style="1" customWidth="1"/>
    <col min="12831" max="13063" width="2.453125" style="1" customWidth="1"/>
    <col min="13064" max="13064" width="3.08984375" style="1" customWidth="1"/>
    <col min="13065" max="13065" width="3.453125" style="1" customWidth="1"/>
    <col min="13066" max="13066" width="45.54296875" style="1" customWidth="1"/>
    <col min="13067" max="13067" width="8.08984375" style="1" customWidth="1"/>
    <col min="13068" max="13068" width="9.08984375" style="1" bestFit="1" customWidth="1"/>
    <col min="13069" max="13069" width="40.54296875" style="1" customWidth="1"/>
    <col min="13070" max="13076" width="12.90625" style="1" customWidth="1"/>
    <col min="13077" max="13077" width="13.08984375" style="1" customWidth="1"/>
    <col min="13078" max="13078" width="48.08984375" style="1" customWidth="1"/>
    <col min="13079" max="13079" width="4.08984375" style="1" customWidth="1"/>
    <col min="13080" max="13080" width="2.453125" style="1" customWidth="1"/>
    <col min="13081" max="13081" width="4.54296875" style="1" bestFit="1" customWidth="1"/>
    <col min="13082" max="13082" width="8.08984375" style="1" bestFit="1" customWidth="1"/>
    <col min="13083" max="13083" width="5.453125" style="1" bestFit="1" customWidth="1"/>
    <col min="13084" max="13084" width="4.90625" style="1" bestFit="1" customWidth="1"/>
    <col min="13085" max="13085" width="2.453125" style="1" customWidth="1"/>
    <col min="13086" max="13086" width="4.54296875" style="1" customWidth="1"/>
    <col min="13087" max="13319" width="2.453125" style="1" customWidth="1"/>
    <col min="13320" max="13320" width="3.08984375" style="1" customWidth="1"/>
    <col min="13321" max="13321" width="3.453125" style="1" customWidth="1"/>
    <col min="13322" max="13322" width="45.54296875" style="1" customWidth="1"/>
    <col min="13323" max="13323" width="8.08984375" style="1" customWidth="1"/>
    <col min="13324" max="13324" width="9.08984375" style="1" bestFit="1" customWidth="1"/>
    <col min="13325" max="13325" width="40.54296875" style="1" customWidth="1"/>
    <col min="13326" max="13332" width="12.90625" style="1" customWidth="1"/>
    <col min="13333" max="13333" width="13.08984375" style="1" customWidth="1"/>
    <col min="13334" max="13334" width="48.08984375" style="1" customWidth="1"/>
    <col min="13335" max="13335" width="4.08984375" style="1" customWidth="1"/>
    <col min="13336" max="13336" width="2.453125" style="1" customWidth="1"/>
    <col min="13337" max="13337" width="4.54296875" style="1" bestFit="1" customWidth="1"/>
    <col min="13338" max="13338" width="8.08984375" style="1" bestFit="1" customWidth="1"/>
    <col min="13339" max="13339" width="5.453125" style="1" bestFit="1" customWidth="1"/>
    <col min="13340" max="13340" width="4.90625" style="1" bestFit="1" customWidth="1"/>
    <col min="13341" max="13341" width="2.453125" style="1" customWidth="1"/>
    <col min="13342" max="13342" width="4.54296875" style="1" customWidth="1"/>
    <col min="13343" max="13575" width="2.453125" style="1" customWidth="1"/>
    <col min="13576" max="13576" width="3.08984375" style="1" customWidth="1"/>
    <col min="13577" max="13577" width="3.453125" style="1" customWidth="1"/>
    <col min="13578" max="13578" width="45.54296875" style="1" customWidth="1"/>
    <col min="13579" max="13579" width="8.08984375" style="1" customWidth="1"/>
    <col min="13580" max="13580" width="9.08984375" style="1" bestFit="1" customWidth="1"/>
    <col min="13581" max="13581" width="40.54296875" style="1" customWidth="1"/>
    <col min="13582" max="13588" width="12.90625" style="1" customWidth="1"/>
    <col min="13589" max="13589" width="13.08984375" style="1" customWidth="1"/>
    <col min="13590" max="13590" width="48.08984375" style="1" customWidth="1"/>
    <col min="13591" max="13591" width="4.08984375" style="1" customWidth="1"/>
    <col min="13592" max="13592" width="2.453125" style="1" customWidth="1"/>
    <col min="13593" max="13593" width="4.54296875" style="1" bestFit="1" customWidth="1"/>
    <col min="13594" max="13594" width="8.08984375" style="1" bestFit="1" customWidth="1"/>
    <col min="13595" max="13595" width="5.453125" style="1" bestFit="1" customWidth="1"/>
    <col min="13596" max="13596" width="4.90625" style="1" bestFit="1" customWidth="1"/>
    <col min="13597" max="13597" width="2.453125" style="1" customWidth="1"/>
    <col min="13598" max="13598" width="4.54296875" style="1" customWidth="1"/>
    <col min="13599" max="13831" width="2.453125" style="1" customWidth="1"/>
    <col min="13832" max="13832" width="3.08984375" style="1" customWidth="1"/>
    <col min="13833" max="13833" width="3.453125" style="1" customWidth="1"/>
    <col min="13834" max="13834" width="45.54296875" style="1" customWidth="1"/>
    <col min="13835" max="13835" width="8.08984375" style="1" customWidth="1"/>
    <col min="13836" max="13836" width="9.08984375" style="1" bestFit="1" customWidth="1"/>
    <col min="13837" max="13837" width="40.54296875" style="1" customWidth="1"/>
    <col min="13838" max="13844" width="12.90625" style="1" customWidth="1"/>
    <col min="13845" max="13845" width="13.08984375" style="1" customWidth="1"/>
    <col min="13846" max="13846" width="48.08984375" style="1" customWidth="1"/>
    <col min="13847" max="13847" width="4.08984375" style="1" customWidth="1"/>
    <col min="13848" max="13848" width="2.453125" style="1" customWidth="1"/>
    <col min="13849" max="13849" width="4.54296875" style="1" bestFit="1" customWidth="1"/>
    <col min="13850" max="13850" width="8.08984375" style="1" bestFit="1" customWidth="1"/>
    <col min="13851" max="13851" width="5.453125" style="1" bestFit="1" customWidth="1"/>
    <col min="13852" max="13852" width="4.90625" style="1" bestFit="1" customWidth="1"/>
    <col min="13853" max="13853" width="2.453125" style="1" customWidth="1"/>
    <col min="13854" max="13854" width="4.54296875" style="1" customWidth="1"/>
    <col min="13855" max="14087" width="2.453125" style="1" customWidth="1"/>
    <col min="14088" max="14088" width="3.08984375" style="1" customWidth="1"/>
    <col min="14089" max="14089" width="3.453125" style="1" customWidth="1"/>
    <col min="14090" max="14090" width="45.54296875" style="1" customWidth="1"/>
    <col min="14091" max="14091" width="8.08984375" style="1" customWidth="1"/>
    <col min="14092" max="14092" width="9.08984375" style="1" bestFit="1" customWidth="1"/>
    <col min="14093" max="14093" width="40.54296875" style="1" customWidth="1"/>
    <col min="14094" max="14100" width="12.90625" style="1" customWidth="1"/>
    <col min="14101" max="14101" width="13.08984375" style="1" customWidth="1"/>
    <col min="14102" max="14102" width="48.08984375" style="1" customWidth="1"/>
    <col min="14103" max="14103" width="4.08984375" style="1" customWidth="1"/>
    <col min="14104" max="14104" width="2.453125" style="1" customWidth="1"/>
    <col min="14105" max="14105" width="4.54296875" style="1" bestFit="1" customWidth="1"/>
    <col min="14106" max="14106" width="8.08984375" style="1" bestFit="1" customWidth="1"/>
    <col min="14107" max="14107" width="5.453125" style="1" bestFit="1" customWidth="1"/>
    <col min="14108" max="14108" width="4.90625" style="1" bestFit="1" customWidth="1"/>
    <col min="14109" max="14109" width="2.453125" style="1" customWidth="1"/>
    <col min="14110" max="14110" width="4.54296875" style="1" customWidth="1"/>
    <col min="14111" max="14343" width="2.453125" style="1" customWidth="1"/>
    <col min="14344" max="14344" width="3.08984375" style="1" customWidth="1"/>
    <col min="14345" max="14345" width="3.453125" style="1" customWidth="1"/>
    <col min="14346" max="14346" width="45.54296875" style="1" customWidth="1"/>
    <col min="14347" max="14347" width="8.08984375" style="1" customWidth="1"/>
    <col min="14348" max="14348" width="9.08984375" style="1" bestFit="1" customWidth="1"/>
    <col min="14349" max="14349" width="40.54296875" style="1" customWidth="1"/>
    <col min="14350" max="14356" width="12.90625" style="1" customWidth="1"/>
    <col min="14357" max="14357" width="13.08984375" style="1" customWidth="1"/>
    <col min="14358" max="14358" width="48.08984375" style="1" customWidth="1"/>
    <col min="14359" max="14359" width="4.08984375" style="1" customWidth="1"/>
    <col min="14360" max="14360" width="2.453125" style="1" customWidth="1"/>
    <col min="14361" max="14361" width="4.54296875" style="1" bestFit="1" customWidth="1"/>
    <col min="14362" max="14362" width="8.08984375" style="1" bestFit="1" customWidth="1"/>
    <col min="14363" max="14363" width="5.453125" style="1" bestFit="1" customWidth="1"/>
    <col min="14364" max="14364" width="4.90625" style="1" bestFit="1" customWidth="1"/>
    <col min="14365" max="14365" width="2.453125" style="1" customWidth="1"/>
    <col min="14366" max="14366" width="4.54296875" style="1" customWidth="1"/>
    <col min="14367" max="14599" width="2.453125" style="1" customWidth="1"/>
    <col min="14600" max="14600" width="3.08984375" style="1" customWidth="1"/>
    <col min="14601" max="14601" width="3.453125" style="1" customWidth="1"/>
    <col min="14602" max="14602" width="45.54296875" style="1" customWidth="1"/>
    <col min="14603" max="14603" width="8.08984375" style="1" customWidth="1"/>
    <col min="14604" max="14604" width="9.08984375" style="1" bestFit="1" customWidth="1"/>
    <col min="14605" max="14605" width="40.54296875" style="1" customWidth="1"/>
    <col min="14606" max="14612" width="12.90625" style="1" customWidth="1"/>
    <col min="14613" max="14613" width="13.08984375" style="1" customWidth="1"/>
    <col min="14614" max="14614" width="48.08984375" style="1" customWidth="1"/>
    <col min="14615" max="14615" width="4.08984375" style="1" customWidth="1"/>
    <col min="14616" max="14616" width="2.453125" style="1" customWidth="1"/>
    <col min="14617" max="14617" width="4.54296875" style="1" bestFit="1" customWidth="1"/>
    <col min="14618" max="14618" width="8.08984375" style="1" bestFit="1" customWidth="1"/>
    <col min="14619" max="14619" width="5.453125" style="1" bestFit="1" customWidth="1"/>
    <col min="14620" max="14620" width="4.90625" style="1" bestFit="1" customWidth="1"/>
    <col min="14621" max="14621" width="2.453125" style="1" customWidth="1"/>
    <col min="14622" max="14622" width="4.54296875" style="1" customWidth="1"/>
    <col min="14623" max="14855" width="2.453125" style="1" customWidth="1"/>
    <col min="14856" max="14856" width="3.08984375" style="1" customWidth="1"/>
    <col min="14857" max="14857" width="3.453125" style="1" customWidth="1"/>
    <col min="14858" max="14858" width="45.54296875" style="1" customWidth="1"/>
    <col min="14859" max="14859" width="8.08984375" style="1" customWidth="1"/>
    <col min="14860" max="14860" width="9.08984375" style="1" bestFit="1" customWidth="1"/>
    <col min="14861" max="14861" width="40.54296875" style="1" customWidth="1"/>
    <col min="14862" max="14868" width="12.90625" style="1" customWidth="1"/>
    <col min="14869" max="14869" width="13.08984375" style="1" customWidth="1"/>
    <col min="14870" max="14870" width="48.08984375" style="1" customWidth="1"/>
    <col min="14871" max="14871" width="4.08984375" style="1" customWidth="1"/>
    <col min="14872" max="14872" width="2.453125" style="1" customWidth="1"/>
    <col min="14873" max="14873" width="4.54296875" style="1" bestFit="1" customWidth="1"/>
    <col min="14874" max="14874" width="8.08984375" style="1" bestFit="1" customWidth="1"/>
    <col min="14875" max="14875" width="5.453125" style="1" bestFit="1" customWidth="1"/>
    <col min="14876" max="14876" width="4.90625" style="1" bestFit="1" customWidth="1"/>
    <col min="14877" max="14877" width="2.453125" style="1" customWidth="1"/>
    <col min="14878" max="14878" width="4.54296875" style="1" customWidth="1"/>
    <col min="14879" max="15111" width="2.453125" style="1" customWidth="1"/>
    <col min="15112" max="15112" width="3.08984375" style="1" customWidth="1"/>
    <col min="15113" max="15113" width="3.453125" style="1" customWidth="1"/>
    <col min="15114" max="15114" width="45.54296875" style="1" customWidth="1"/>
    <col min="15115" max="15115" width="8.08984375" style="1" customWidth="1"/>
    <col min="15116" max="15116" width="9.08984375" style="1" bestFit="1" customWidth="1"/>
    <col min="15117" max="15117" width="40.54296875" style="1" customWidth="1"/>
    <col min="15118" max="15124" width="12.90625" style="1" customWidth="1"/>
    <col min="15125" max="15125" width="13.08984375" style="1" customWidth="1"/>
    <col min="15126" max="15126" width="48.08984375" style="1" customWidth="1"/>
    <col min="15127" max="15127" width="4.08984375" style="1" customWidth="1"/>
    <col min="15128" max="15128" width="2.453125" style="1" customWidth="1"/>
    <col min="15129" max="15129" width="4.54296875" style="1" bestFit="1" customWidth="1"/>
    <col min="15130" max="15130" width="8.08984375" style="1" bestFit="1" customWidth="1"/>
    <col min="15131" max="15131" width="5.453125" style="1" bestFit="1" customWidth="1"/>
    <col min="15132" max="15132" width="4.90625" style="1" bestFit="1" customWidth="1"/>
    <col min="15133" max="15133" width="2.453125" style="1" customWidth="1"/>
    <col min="15134" max="15134" width="4.54296875" style="1" customWidth="1"/>
    <col min="15135" max="15367" width="2.453125" style="1" customWidth="1"/>
    <col min="15368" max="15368" width="3.08984375" style="1" customWidth="1"/>
    <col min="15369" max="15369" width="3.453125" style="1" customWidth="1"/>
    <col min="15370" max="15370" width="45.54296875" style="1" customWidth="1"/>
    <col min="15371" max="15371" width="8.08984375" style="1" customWidth="1"/>
    <col min="15372" max="15372" width="9.08984375" style="1" bestFit="1" customWidth="1"/>
    <col min="15373" max="15373" width="40.54296875" style="1" customWidth="1"/>
    <col min="15374" max="15380" width="12.90625" style="1" customWidth="1"/>
    <col min="15381" max="15381" width="13.08984375" style="1" customWidth="1"/>
    <col min="15382" max="15382" width="48.08984375" style="1" customWidth="1"/>
    <col min="15383" max="15383" width="4.08984375" style="1" customWidth="1"/>
    <col min="15384" max="15384" width="2.453125" style="1" customWidth="1"/>
    <col min="15385" max="15385" width="4.54296875" style="1" bestFit="1" customWidth="1"/>
    <col min="15386" max="15386" width="8.08984375" style="1" bestFit="1" customWidth="1"/>
    <col min="15387" max="15387" width="5.453125" style="1" bestFit="1" customWidth="1"/>
    <col min="15388" max="15388" width="4.90625" style="1" bestFit="1" customWidth="1"/>
    <col min="15389" max="15389" width="2.453125" style="1" customWidth="1"/>
    <col min="15390" max="15390" width="4.54296875" style="1" customWidth="1"/>
    <col min="15391" max="15623" width="2.453125" style="1" customWidth="1"/>
    <col min="15624" max="15624" width="3.08984375" style="1" customWidth="1"/>
    <col min="15625" max="15625" width="3.453125" style="1" customWidth="1"/>
    <col min="15626" max="15626" width="45.54296875" style="1" customWidth="1"/>
    <col min="15627" max="15627" width="8.08984375" style="1" customWidth="1"/>
    <col min="15628" max="15628" width="9.08984375" style="1" bestFit="1" customWidth="1"/>
    <col min="15629" max="15629" width="40.54296875" style="1" customWidth="1"/>
    <col min="15630" max="15636" width="12.90625" style="1" customWidth="1"/>
    <col min="15637" max="15637" width="13.08984375" style="1" customWidth="1"/>
    <col min="15638" max="15638" width="48.08984375" style="1" customWidth="1"/>
    <col min="15639" max="15639" width="4.08984375" style="1" customWidth="1"/>
    <col min="15640" max="15640" width="2.453125" style="1" customWidth="1"/>
    <col min="15641" max="15641" width="4.54296875" style="1" bestFit="1" customWidth="1"/>
    <col min="15642" max="15642" width="8.08984375" style="1" bestFit="1" customWidth="1"/>
    <col min="15643" max="15643" width="5.453125" style="1" bestFit="1" customWidth="1"/>
    <col min="15644" max="15644" width="4.90625" style="1" bestFit="1" customWidth="1"/>
    <col min="15645" max="15645" width="2.453125" style="1" customWidth="1"/>
    <col min="15646" max="15646" width="4.54296875" style="1" customWidth="1"/>
    <col min="15647" max="15879" width="2.453125" style="1" customWidth="1"/>
    <col min="15880" max="15880" width="3.08984375" style="1" customWidth="1"/>
    <col min="15881" max="15881" width="3.453125" style="1" customWidth="1"/>
    <col min="15882" max="15882" width="45.54296875" style="1" customWidth="1"/>
    <col min="15883" max="15883" width="8.08984375" style="1" customWidth="1"/>
    <col min="15884" max="15884" width="9.08984375" style="1" bestFit="1" customWidth="1"/>
    <col min="15885" max="15885" width="40.54296875" style="1" customWidth="1"/>
    <col min="15886" max="15892" width="12.90625" style="1" customWidth="1"/>
    <col min="15893" max="15893" width="13.08984375" style="1" customWidth="1"/>
    <col min="15894" max="15894" width="48.08984375" style="1" customWidth="1"/>
    <col min="15895" max="15895" width="4.08984375" style="1" customWidth="1"/>
    <col min="15896" max="15896" width="2.453125" style="1" customWidth="1"/>
    <col min="15897" max="15897" width="4.54296875" style="1" bestFit="1" customWidth="1"/>
    <col min="15898" max="15898" width="8.08984375" style="1" bestFit="1" customWidth="1"/>
    <col min="15899" max="15899" width="5.453125" style="1" bestFit="1" customWidth="1"/>
    <col min="15900" max="15900" width="4.90625" style="1" bestFit="1" customWidth="1"/>
    <col min="15901" max="15901" width="2.453125" style="1" customWidth="1"/>
    <col min="15902" max="15902" width="4.54296875" style="1" customWidth="1"/>
    <col min="15903" max="16135" width="2.453125" style="1" customWidth="1"/>
    <col min="16136" max="16136" width="3.08984375" style="1" customWidth="1"/>
    <col min="16137" max="16137" width="3.453125" style="1" customWidth="1"/>
    <col min="16138" max="16138" width="45.54296875" style="1" customWidth="1"/>
    <col min="16139" max="16139" width="8.08984375" style="1" customWidth="1"/>
    <col min="16140" max="16140" width="9.08984375" style="1" bestFit="1" customWidth="1"/>
    <col min="16141" max="16141" width="40.54296875" style="1" customWidth="1"/>
    <col min="16142" max="16148" width="12.90625" style="1" customWidth="1"/>
    <col min="16149" max="16149" width="13.08984375" style="1" customWidth="1"/>
    <col min="16150" max="16150" width="48.08984375" style="1" customWidth="1"/>
    <col min="16151" max="16151" width="4.08984375" style="1" customWidth="1"/>
    <col min="16152" max="16152" width="2.453125" style="1" customWidth="1"/>
    <col min="16153" max="16153" width="4.54296875" style="1" bestFit="1" customWidth="1"/>
    <col min="16154" max="16154" width="8.08984375" style="1" bestFit="1" customWidth="1"/>
    <col min="16155" max="16155" width="5.453125" style="1" bestFit="1" customWidth="1"/>
    <col min="16156" max="16156" width="4.90625" style="1" bestFit="1" customWidth="1"/>
    <col min="16157" max="16157" width="2.453125" style="1" customWidth="1"/>
    <col min="16158" max="16158" width="4.54296875" style="1" customWidth="1"/>
    <col min="16159" max="16384" width="2.453125" style="1" customWidth="1"/>
  </cols>
  <sheetData>
    <row r="1" spans="2:24" ht="15" customHeight="1" thickBot="1"/>
    <row r="2" spans="2:24" ht="25.25" customHeight="1" thickBot="1">
      <c r="B2" s="316" t="str">
        <f ca="1">見積総額!B2&amp;"　" &amp; RIGHT(CELL("filename", A1), LEN(CELL("filename", A1))-FIND("]",CELL("filename", A1)))</f>
        <v>Sample Project　詳細設計～システムテスト 本番移行_2</v>
      </c>
      <c r="C2" s="313"/>
      <c r="D2" s="313"/>
      <c r="E2" s="313"/>
      <c r="F2" s="313"/>
      <c r="G2" s="313"/>
      <c r="H2" s="313"/>
      <c r="I2" s="313"/>
      <c r="J2" s="313"/>
      <c r="K2" s="313"/>
      <c r="L2" s="313"/>
      <c r="M2" s="313"/>
      <c r="N2" s="313"/>
      <c r="O2" s="313"/>
      <c r="P2" s="313"/>
      <c r="Q2" s="313"/>
      <c r="R2" s="313"/>
      <c r="S2" s="313"/>
      <c r="T2" s="313"/>
      <c r="U2" s="313"/>
      <c r="V2" s="314"/>
    </row>
    <row r="3" spans="2:24" ht="14">
      <c r="V3" s="68" t="s">
        <v>60</v>
      </c>
    </row>
    <row r="4" spans="2:24" ht="15" customHeight="1" thickBot="1">
      <c r="I4" s="103"/>
      <c r="V4" s="175" t="s">
        <v>61</v>
      </c>
    </row>
    <row r="5" spans="2:24">
      <c r="B5" s="319" t="s">
        <v>62</v>
      </c>
      <c r="C5" s="346" t="s">
        <v>63</v>
      </c>
      <c r="D5" s="317" t="s">
        <v>64</v>
      </c>
      <c r="E5" s="346" t="s">
        <v>65</v>
      </c>
      <c r="F5" s="346" t="s">
        <v>66</v>
      </c>
      <c r="G5" s="346" t="s">
        <v>67</v>
      </c>
      <c r="H5" s="361" t="s">
        <v>68</v>
      </c>
      <c r="I5" s="329"/>
      <c r="J5" s="330" t="s">
        <v>69</v>
      </c>
      <c r="K5" s="331"/>
      <c r="L5" s="331"/>
      <c r="M5" s="332"/>
      <c r="N5" s="330" t="s">
        <v>70</v>
      </c>
      <c r="O5" s="331"/>
      <c r="P5" s="331"/>
      <c r="Q5" s="332"/>
      <c r="R5" s="330" t="s">
        <v>71</v>
      </c>
      <c r="S5" s="331"/>
      <c r="T5" s="331"/>
      <c r="U5" s="332"/>
      <c r="V5" s="359" t="s">
        <v>72</v>
      </c>
    </row>
    <row r="6" spans="2:24">
      <c r="B6" s="320"/>
      <c r="C6" s="318"/>
      <c r="D6" s="318"/>
      <c r="E6" s="318"/>
      <c r="F6" s="318"/>
      <c r="G6" s="318"/>
      <c r="H6" s="145" t="s">
        <v>73</v>
      </c>
      <c r="I6" s="335" t="s">
        <v>74</v>
      </c>
      <c r="J6" s="373" t="s">
        <v>24</v>
      </c>
      <c r="K6" s="337"/>
      <c r="L6" s="337"/>
      <c r="M6" s="338"/>
      <c r="N6" s="339" t="s">
        <v>75</v>
      </c>
      <c r="O6" s="337"/>
      <c r="P6" s="337"/>
      <c r="Q6" s="338"/>
      <c r="R6" s="339"/>
      <c r="S6" s="337"/>
      <c r="T6" s="337"/>
      <c r="U6" s="338"/>
      <c r="V6" s="341"/>
    </row>
    <row r="7" spans="2:24" ht="15" customHeight="1" thickBot="1">
      <c r="B7" s="321"/>
      <c r="C7" s="306"/>
      <c r="D7" s="306"/>
      <c r="E7" s="306"/>
      <c r="F7" s="306"/>
      <c r="G7" s="306"/>
      <c r="H7" s="146" t="s">
        <v>76</v>
      </c>
      <c r="I7" s="323"/>
      <c r="J7" s="144" t="s">
        <v>46</v>
      </c>
      <c r="K7" s="144" t="s">
        <v>48</v>
      </c>
      <c r="L7" s="144" t="s">
        <v>50</v>
      </c>
      <c r="M7" s="144" t="s">
        <v>51</v>
      </c>
      <c r="N7" s="144" t="s">
        <v>46</v>
      </c>
      <c r="O7" s="144" t="s">
        <v>48</v>
      </c>
      <c r="P7" s="144" t="s">
        <v>50</v>
      </c>
      <c r="Q7" s="144" t="s">
        <v>51</v>
      </c>
      <c r="R7" s="144" t="s">
        <v>46</v>
      </c>
      <c r="S7" s="144" t="s">
        <v>48</v>
      </c>
      <c r="T7" s="144" t="s">
        <v>50</v>
      </c>
      <c r="U7" s="144" t="s">
        <v>51</v>
      </c>
      <c r="V7" s="360"/>
    </row>
    <row r="8" spans="2:24" ht="15" customHeight="1" thickBot="1">
      <c r="B8" s="251"/>
      <c r="C8" s="180" t="s">
        <v>77</v>
      </c>
      <c r="D8" s="252"/>
      <c r="E8" s="180"/>
      <c r="F8" s="253"/>
      <c r="G8" s="253"/>
      <c r="H8" s="252"/>
      <c r="I8" s="252"/>
      <c r="J8" s="254"/>
      <c r="K8" s="254"/>
      <c r="L8" s="254"/>
      <c r="M8" s="254"/>
      <c r="N8" s="254"/>
      <c r="O8" s="254"/>
      <c r="P8" s="254"/>
      <c r="Q8" s="254"/>
      <c r="R8" s="254"/>
      <c r="S8" s="254"/>
      <c r="T8" s="254"/>
      <c r="U8" s="254"/>
      <c r="V8" s="255"/>
    </row>
    <row r="9" spans="2:24" ht="132" customHeight="1">
      <c r="B9" s="13">
        <v>1</v>
      </c>
      <c r="C9" s="19" t="s">
        <v>78</v>
      </c>
      <c r="D9" s="19" t="s">
        <v>79</v>
      </c>
      <c r="E9" s="37"/>
      <c r="F9" s="263" t="s">
        <v>80</v>
      </c>
      <c r="G9" s="263"/>
      <c r="H9" s="143" t="s">
        <v>81</v>
      </c>
      <c r="I9" s="19"/>
      <c r="J9" s="15">
        <f>VLOOKUP($F9,難易度別標準工数!$B$7:$G$10,3,FALSE)</f>
        <v>5</v>
      </c>
      <c r="K9" s="15">
        <f>VLOOKUP($F9,難易度別標準工数!$B$7:$G$10,4,FALSE)</f>
        <v>3</v>
      </c>
      <c r="L9" s="15">
        <f>VLOOKUP($F9,難易度別標準工数!$B$7:$G$10,5,FALSE)</f>
        <v>7</v>
      </c>
      <c r="M9" s="15">
        <f>VLOOKUP($F9,難易度別標準工数!$B$7:$G$10,6,FALSE)</f>
        <v>5</v>
      </c>
      <c r="N9" s="15"/>
      <c r="O9" s="15"/>
      <c r="P9" s="15"/>
      <c r="Q9" s="15"/>
      <c r="R9" s="183">
        <f t="shared" ref="R9:U10" si="0">J9+N9</f>
        <v>5</v>
      </c>
      <c r="S9" s="183">
        <f t="shared" si="0"/>
        <v>3</v>
      </c>
      <c r="T9" s="183">
        <f t="shared" si="0"/>
        <v>7</v>
      </c>
      <c r="U9" s="183">
        <f t="shared" si="0"/>
        <v>5</v>
      </c>
      <c r="V9" s="264"/>
    </row>
    <row r="10" spans="2:24" ht="103.75" customHeight="1">
      <c r="B10" s="3">
        <v>2</v>
      </c>
      <c r="C10" s="21" t="s">
        <v>83</v>
      </c>
      <c r="D10" s="21" t="s">
        <v>84</v>
      </c>
      <c r="E10" s="248"/>
      <c r="F10" s="249" t="s">
        <v>85</v>
      </c>
      <c r="G10" s="249"/>
      <c r="H10" s="250" t="s">
        <v>86</v>
      </c>
      <c r="I10" s="21"/>
      <c r="J10" s="262">
        <f>VLOOKUP($F10,難易度別標準工数!$B$7:$G$10,3,FALSE)</f>
        <v>3</v>
      </c>
      <c r="K10" s="262">
        <f>VLOOKUP($F10,難易度別標準工数!$B$7:$G$10,4,FALSE)</f>
        <v>1.5</v>
      </c>
      <c r="L10" s="262">
        <f>VLOOKUP($F10,難易度別標準工数!$B$7:$G$10,5,FALSE)</f>
        <v>4.5</v>
      </c>
      <c r="M10" s="262">
        <f>VLOOKUP($F10,難易度別標準工数!$B$7:$G$10,6,FALSE)</f>
        <v>3</v>
      </c>
      <c r="N10" s="262"/>
      <c r="O10" s="262"/>
      <c r="P10" s="262"/>
      <c r="Q10" s="262">
        <v>-1</v>
      </c>
      <c r="R10" s="280">
        <f t="shared" si="0"/>
        <v>3</v>
      </c>
      <c r="S10" s="280">
        <f t="shared" si="0"/>
        <v>1.5</v>
      </c>
      <c r="T10" s="280">
        <f t="shared" si="0"/>
        <v>4.5</v>
      </c>
      <c r="U10" s="280">
        <f t="shared" si="0"/>
        <v>2</v>
      </c>
      <c r="V10" s="265"/>
      <c r="W10" s="271"/>
      <c r="X10" s="271"/>
    </row>
    <row r="11" spans="2:24" ht="16.25" customHeight="1">
      <c r="B11" s="3"/>
      <c r="C11" s="44"/>
      <c r="D11" s="44"/>
      <c r="E11" s="55"/>
      <c r="F11" s="284"/>
      <c r="G11" s="284"/>
      <c r="H11" s="285"/>
      <c r="I11" s="44"/>
      <c r="J11" s="262"/>
      <c r="K11" s="262"/>
      <c r="L11" s="262"/>
      <c r="M11" s="262"/>
      <c r="N11" s="262"/>
      <c r="O11" s="262"/>
      <c r="P11" s="262"/>
      <c r="Q11" s="262"/>
      <c r="R11" s="280"/>
      <c r="S11" s="280"/>
      <c r="T11" s="280"/>
      <c r="U11" s="280"/>
      <c r="V11" s="269"/>
    </row>
    <row r="12" spans="2:24" ht="16.25" customHeight="1">
      <c r="B12" s="43"/>
      <c r="C12" s="44"/>
      <c r="D12" s="44"/>
      <c r="E12" s="55"/>
      <c r="F12" s="284"/>
      <c r="G12" s="284"/>
      <c r="H12" s="285"/>
      <c r="I12" s="44"/>
      <c r="J12" s="262"/>
      <c r="K12" s="262"/>
      <c r="L12" s="262"/>
      <c r="M12" s="262"/>
      <c r="N12" s="262"/>
      <c r="O12" s="262"/>
      <c r="P12" s="262"/>
      <c r="Q12" s="262"/>
      <c r="R12" s="280"/>
      <c r="S12" s="280"/>
      <c r="T12" s="280"/>
      <c r="U12" s="280"/>
      <c r="V12" s="269"/>
    </row>
    <row r="13" spans="2:24" ht="16.25" customHeight="1">
      <c r="B13" s="3"/>
      <c r="C13" s="44"/>
      <c r="D13" s="44"/>
      <c r="E13" s="55"/>
      <c r="F13" s="284"/>
      <c r="G13" s="284"/>
      <c r="H13" s="285"/>
      <c r="I13" s="44"/>
      <c r="J13" s="262"/>
      <c r="K13" s="262"/>
      <c r="L13" s="262"/>
      <c r="M13" s="262"/>
      <c r="N13" s="262"/>
      <c r="O13" s="262"/>
      <c r="P13" s="262"/>
      <c r="Q13" s="262"/>
      <c r="R13" s="280"/>
      <c r="S13" s="280"/>
      <c r="T13" s="280"/>
      <c r="U13" s="280"/>
      <c r="V13" s="269"/>
    </row>
    <row r="14" spans="2:24" ht="16.25" customHeight="1" thickBot="1">
      <c r="B14" s="43"/>
      <c r="C14" s="44"/>
      <c r="D14" s="44"/>
      <c r="E14" s="55"/>
      <c r="F14" s="284"/>
      <c r="G14" s="284"/>
      <c r="H14" s="285"/>
      <c r="I14" s="44"/>
      <c r="J14" s="262"/>
      <c r="K14" s="262"/>
      <c r="L14" s="262"/>
      <c r="M14" s="262"/>
      <c r="N14" s="262"/>
      <c r="O14" s="262"/>
      <c r="P14" s="262"/>
      <c r="Q14" s="262"/>
      <c r="R14" s="280"/>
      <c r="S14" s="280"/>
      <c r="T14" s="280"/>
      <c r="U14" s="280"/>
      <c r="V14" s="269"/>
    </row>
    <row r="15" spans="2:24" ht="16.25" customHeight="1" thickBot="1">
      <c r="B15" s="8"/>
      <c r="C15" s="22"/>
      <c r="D15" s="22"/>
      <c r="E15" s="38"/>
      <c r="F15" s="266"/>
      <c r="G15" s="266"/>
      <c r="H15" s="267"/>
      <c r="I15" s="22"/>
      <c r="J15" s="15"/>
      <c r="K15" s="15"/>
      <c r="L15" s="15"/>
      <c r="M15" s="15"/>
      <c r="N15" s="15"/>
      <c r="O15" s="15"/>
      <c r="P15" s="15"/>
      <c r="Q15" s="15"/>
      <c r="R15" s="183"/>
      <c r="S15" s="183"/>
      <c r="T15" s="183"/>
      <c r="U15" s="183"/>
      <c r="V15" s="268"/>
    </row>
    <row r="16" spans="2:24" ht="15" customHeight="1" thickBot="1">
      <c r="B16" s="256"/>
      <c r="C16" s="181"/>
      <c r="D16" s="257"/>
      <c r="E16" s="181"/>
      <c r="F16" s="258"/>
      <c r="G16" s="258"/>
      <c r="H16" s="257"/>
      <c r="I16" s="257"/>
      <c r="J16" s="259"/>
      <c r="K16" s="259"/>
      <c r="L16" s="259"/>
      <c r="M16" s="259"/>
      <c r="N16" s="259"/>
      <c r="O16" s="259"/>
      <c r="P16" s="259"/>
      <c r="Q16" s="259"/>
      <c r="R16" s="260"/>
      <c r="S16" s="260"/>
      <c r="T16" s="260"/>
      <c r="U16" s="260"/>
      <c r="V16" s="261"/>
    </row>
    <row r="17" spans="1:25">
      <c r="A17" s="18"/>
      <c r="B17" s="2">
        <v>1</v>
      </c>
      <c r="C17" s="60"/>
      <c r="D17" s="82"/>
      <c r="E17" s="7"/>
      <c r="F17" s="59"/>
      <c r="G17" s="59"/>
      <c r="H17" s="82"/>
      <c r="I17" s="20"/>
      <c r="J17" s="61"/>
      <c r="K17" s="62"/>
      <c r="L17" s="62"/>
      <c r="M17" s="63"/>
      <c r="N17" s="61"/>
      <c r="O17" s="62"/>
      <c r="P17" s="62"/>
      <c r="Q17" s="63"/>
      <c r="R17" s="182">
        <f t="shared" ref="R17:U18" si="1">J17+N17</f>
        <v>0</v>
      </c>
      <c r="S17" s="183">
        <f t="shared" si="1"/>
        <v>0</v>
      </c>
      <c r="T17" s="183">
        <f t="shared" si="1"/>
        <v>0</v>
      </c>
      <c r="U17" s="184">
        <f t="shared" si="1"/>
        <v>0</v>
      </c>
      <c r="V17" s="29"/>
      <c r="Y17" s="103"/>
    </row>
    <row r="18" spans="1:25" ht="15.65" customHeight="1">
      <c r="A18" s="18"/>
      <c r="B18" s="2">
        <v>2</v>
      </c>
      <c r="C18" s="64"/>
      <c r="D18" s="5"/>
      <c r="E18" s="6"/>
      <c r="F18" s="362"/>
      <c r="G18" s="362"/>
      <c r="H18" s="352"/>
      <c r="I18" s="363"/>
      <c r="J18" s="353"/>
      <c r="K18" s="372"/>
      <c r="L18" s="372"/>
      <c r="M18" s="340"/>
      <c r="N18" s="367"/>
      <c r="O18" s="322"/>
      <c r="P18" s="322"/>
      <c r="Q18" s="340"/>
      <c r="R18" s="366">
        <f t="shared" si="1"/>
        <v>0</v>
      </c>
      <c r="S18" s="343">
        <f t="shared" si="1"/>
        <v>0</v>
      </c>
      <c r="T18" s="343">
        <f t="shared" si="1"/>
        <v>0</v>
      </c>
      <c r="U18" s="365">
        <f t="shared" si="1"/>
        <v>0</v>
      </c>
      <c r="V18" s="29"/>
    </row>
    <row r="19" spans="1:25" ht="15.65" customHeight="1">
      <c r="A19" s="18"/>
      <c r="B19" s="2">
        <v>3</v>
      </c>
      <c r="C19" s="64"/>
      <c r="D19" s="5"/>
      <c r="E19" s="7"/>
      <c r="F19" s="318"/>
      <c r="G19" s="318"/>
      <c r="H19" s="318"/>
      <c r="I19" s="341"/>
      <c r="J19" s="320"/>
      <c r="K19" s="318"/>
      <c r="L19" s="318"/>
      <c r="M19" s="341"/>
      <c r="N19" s="320"/>
      <c r="O19" s="318"/>
      <c r="P19" s="318"/>
      <c r="Q19" s="341"/>
      <c r="R19" s="320"/>
      <c r="S19" s="318"/>
      <c r="T19" s="318"/>
      <c r="U19" s="341"/>
      <c r="V19" s="29"/>
    </row>
    <row r="20" spans="1:25" ht="15.65" customHeight="1">
      <c r="A20" s="18"/>
      <c r="B20" s="2">
        <v>4</v>
      </c>
      <c r="C20" s="64"/>
      <c r="D20" s="5"/>
      <c r="E20" s="7"/>
      <c r="F20" s="318"/>
      <c r="G20" s="318"/>
      <c r="H20" s="318"/>
      <c r="I20" s="341"/>
      <c r="J20" s="320"/>
      <c r="K20" s="318"/>
      <c r="L20" s="318"/>
      <c r="M20" s="341"/>
      <c r="N20" s="320"/>
      <c r="O20" s="318"/>
      <c r="P20" s="318"/>
      <c r="Q20" s="341"/>
      <c r="R20" s="320"/>
      <c r="S20" s="318"/>
      <c r="T20" s="318"/>
      <c r="U20" s="341"/>
      <c r="V20" s="29"/>
    </row>
    <row r="21" spans="1:25" ht="15.65" customHeight="1">
      <c r="A21" s="18"/>
      <c r="B21" s="2">
        <v>5</v>
      </c>
      <c r="C21" s="64"/>
      <c r="D21" s="5"/>
      <c r="E21" s="7"/>
      <c r="F21" s="318"/>
      <c r="G21" s="318"/>
      <c r="H21" s="318"/>
      <c r="I21" s="341"/>
      <c r="J21" s="320"/>
      <c r="K21" s="318"/>
      <c r="L21" s="318"/>
      <c r="M21" s="341"/>
      <c r="N21" s="320"/>
      <c r="O21" s="318"/>
      <c r="P21" s="318"/>
      <c r="Q21" s="341"/>
      <c r="R21" s="320"/>
      <c r="S21" s="318"/>
      <c r="T21" s="318"/>
      <c r="U21" s="341"/>
      <c r="V21" s="29"/>
    </row>
    <row r="22" spans="1:25" ht="15" customHeight="1" thickBot="1">
      <c r="A22" s="18"/>
      <c r="B22" s="2">
        <v>6</v>
      </c>
      <c r="C22" s="57"/>
      <c r="D22" s="12"/>
      <c r="E22" s="58"/>
      <c r="F22" s="323"/>
      <c r="G22" s="323"/>
      <c r="H22" s="323"/>
      <c r="I22" s="342"/>
      <c r="J22" s="354"/>
      <c r="K22" s="323"/>
      <c r="L22" s="323"/>
      <c r="M22" s="342"/>
      <c r="N22" s="354"/>
      <c r="O22" s="323"/>
      <c r="P22" s="323"/>
      <c r="Q22" s="342"/>
      <c r="R22" s="321"/>
      <c r="S22" s="306"/>
      <c r="T22" s="306"/>
      <c r="U22" s="360"/>
      <c r="V22" s="29"/>
    </row>
    <row r="23" spans="1:25" ht="15" customHeight="1" thickBot="1">
      <c r="B23" s="71"/>
      <c r="C23" s="75" t="s">
        <v>101</v>
      </c>
      <c r="D23" s="74"/>
      <c r="E23" s="75"/>
      <c r="F23" s="73"/>
      <c r="G23" s="73"/>
      <c r="H23" s="74"/>
      <c r="I23" s="74"/>
      <c r="J23" s="76"/>
      <c r="K23" s="76"/>
      <c r="L23" s="76"/>
      <c r="M23" s="76"/>
      <c r="N23" s="76"/>
      <c r="O23" s="76"/>
      <c r="P23" s="76"/>
      <c r="Q23" s="76"/>
      <c r="R23" s="185"/>
      <c r="S23" s="185"/>
      <c r="T23" s="185"/>
      <c r="U23" s="185"/>
      <c r="V23" s="77"/>
    </row>
    <row r="24" spans="1:25">
      <c r="A24" s="18"/>
      <c r="B24" s="13">
        <f>B16+1</f>
        <v>1</v>
      </c>
      <c r="C24" s="37"/>
      <c r="D24" s="83"/>
      <c r="E24" s="49"/>
      <c r="F24" s="41"/>
      <c r="G24" s="41"/>
      <c r="H24" s="83"/>
      <c r="I24" s="20"/>
      <c r="J24" s="14"/>
      <c r="K24" s="15"/>
      <c r="L24" s="15"/>
      <c r="M24" s="42"/>
      <c r="N24" s="14"/>
      <c r="O24" s="15"/>
      <c r="P24" s="15"/>
      <c r="Q24" s="42"/>
      <c r="R24" s="182">
        <f>J24+N24</f>
        <v>0</v>
      </c>
      <c r="S24" s="183">
        <f>K24+N24</f>
        <v>0</v>
      </c>
      <c r="T24" s="183">
        <f>L24+O24</f>
        <v>0</v>
      </c>
      <c r="U24" s="184">
        <f>M24+Q24</f>
        <v>0</v>
      </c>
      <c r="V24" s="48"/>
    </row>
    <row r="25" spans="1:25" ht="15" customHeight="1" thickBot="1">
      <c r="A25" s="18"/>
      <c r="B25" s="8">
        <v>2</v>
      </c>
      <c r="C25" s="38"/>
      <c r="D25" s="12"/>
      <c r="E25" s="189"/>
      <c r="F25" s="40"/>
      <c r="G25" s="40"/>
      <c r="H25" s="22"/>
      <c r="I25" s="23"/>
      <c r="J25" s="16"/>
      <c r="K25" s="17"/>
      <c r="L25" s="17"/>
      <c r="M25" s="36"/>
      <c r="N25" s="16"/>
      <c r="O25" s="17"/>
      <c r="P25" s="17"/>
      <c r="Q25" s="36"/>
      <c r="R25" s="283">
        <f>J25+N25</f>
        <v>0</v>
      </c>
      <c r="S25" s="281">
        <f>K25+N25</f>
        <v>0</v>
      </c>
      <c r="T25" s="281">
        <f>L25+O25</f>
        <v>0</v>
      </c>
      <c r="U25" s="282">
        <f>M25+Q25</f>
        <v>0</v>
      </c>
      <c r="V25" s="28"/>
    </row>
    <row r="26" spans="1:25" ht="15" customHeight="1" thickBot="1">
      <c r="C26" s="9"/>
      <c r="D26" s="9"/>
      <c r="E26" s="9"/>
      <c r="F26" s="9"/>
      <c r="G26" s="9"/>
      <c r="H26" s="9"/>
      <c r="I26" s="150" t="s">
        <v>104</v>
      </c>
      <c r="J26" s="30">
        <f t="shared" ref="J26:U26" si="2">SUM(J8:J25)</f>
        <v>8</v>
      </c>
      <c r="K26" s="31">
        <f t="shared" si="2"/>
        <v>4.5</v>
      </c>
      <c r="L26" s="31">
        <f t="shared" si="2"/>
        <v>11.5</v>
      </c>
      <c r="M26" s="32">
        <f t="shared" si="2"/>
        <v>8</v>
      </c>
      <c r="N26" s="30">
        <f t="shared" si="2"/>
        <v>0</v>
      </c>
      <c r="O26" s="31">
        <f t="shared" si="2"/>
        <v>0</v>
      </c>
      <c r="P26" s="31">
        <f t="shared" si="2"/>
        <v>0</v>
      </c>
      <c r="Q26" s="32">
        <f t="shared" si="2"/>
        <v>-1</v>
      </c>
      <c r="R26" s="30">
        <f t="shared" si="2"/>
        <v>8</v>
      </c>
      <c r="S26" s="31">
        <f t="shared" si="2"/>
        <v>4.5</v>
      </c>
      <c r="T26" s="31">
        <f t="shared" si="2"/>
        <v>11.5</v>
      </c>
      <c r="U26" s="32">
        <f t="shared" si="2"/>
        <v>7</v>
      </c>
      <c r="V26" s="9"/>
      <c r="W26" s="9"/>
    </row>
    <row r="27" spans="1:25" ht="15" customHeight="1" thickBot="1">
      <c r="C27" s="9"/>
      <c r="D27" s="9"/>
      <c r="E27" s="9"/>
      <c r="F27" s="9"/>
      <c r="G27" s="9"/>
      <c r="H27" s="9"/>
      <c r="V27" s="9"/>
      <c r="W27" s="9"/>
    </row>
    <row r="28" spans="1:25">
      <c r="B28" s="319" t="s">
        <v>62</v>
      </c>
      <c r="C28" s="346" t="s">
        <v>63</v>
      </c>
      <c r="D28" s="317" t="s">
        <v>64</v>
      </c>
      <c r="E28" s="346" t="s">
        <v>65</v>
      </c>
      <c r="F28" s="346" t="s">
        <v>66</v>
      </c>
      <c r="G28" s="346" t="s">
        <v>67</v>
      </c>
      <c r="H28" s="361" t="s">
        <v>68</v>
      </c>
      <c r="I28" s="329"/>
      <c r="J28" s="336" t="s">
        <v>69</v>
      </c>
      <c r="K28" s="331"/>
      <c r="L28" s="331"/>
      <c r="M28" s="332"/>
      <c r="N28" s="336" t="s">
        <v>70</v>
      </c>
      <c r="O28" s="331"/>
      <c r="P28" s="331"/>
      <c r="Q28" s="332"/>
      <c r="R28" s="336" t="s">
        <v>71</v>
      </c>
      <c r="S28" s="331"/>
      <c r="T28" s="331"/>
      <c r="U28" s="332"/>
      <c r="V28" s="359" t="s">
        <v>72</v>
      </c>
    </row>
    <row r="29" spans="1:25">
      <c r="B29" s="320"/>
      <c r="C29" s="318"/>
      <c r="D29" s="318"/>
      <c r="E29" s="318"/>
      <c r="F29" s="318"/>
      <c r="G29" s="318"/>
      <c r="H29" s="145" t="s">
        <v>73</v>
      </c>
      <c r="I29" s="335" t="s">
        <v>105</v>
      </c>
      <c r="J29" s="309"/>
      <c r="K29" s="337"/>
      <c r="L29" s="337"/>
      <c r="M29" s="338"/>
      <c r="N29" s="309"/>
      <c r="O29" s="337"/>
      <c r="P29" s="337"/>
      <c r="Q29" s="338"/>
      <c r="R29" s="309"/>
      <c r="S29" s="337"/>
      <c r="T29" s="337"/>
      <c r="U29" s="338"/>
      <c r="V29" s="341"/>
    </row>
    <row r="30" spans="1:25" ht="27" customHeight="1" thickBot="1">
      <c r="B30" s="321"/>
      <c r="C30" s="306"/>
      <c r="D30" s="306"/>
      <c r="E30" s="306"/>
      <c r="F30" s="306"/>
      <c r="G30" s="306"/>
      <c r="H30" s="146" t="s">
        <v>76</v>
      </c>
      <c r="I30" s="323"/>
      <c r="J30" s="191"/>
      <c r="K30" s="191"/>
      <c r="L30" s="191"/>
      <c r="M30" s="191"/>
      <c r="N30" s="191"/>
      <c r="O30" s="191"/>
      <c r="P30" s="191"/>
      <c r="Q30" s="191"/>
      <c r="R30" s="333" t="s">
        <v>106</v>
      </c>
      <c r="S30" s="325"/>
      <c r="T30" s="325"/>
      <c r="U30" s="334"/>
      <c r="V30" s="360"/>
    </row>
    <row r="31" spans="1:25" ht="15" customHeight="1" thickBot="1">
      <c r="B31" s="71"/>
      <c r="C31" s="72" t="s">
        <v>107</v>
      </c>
      <c r="D31" s="74"/>
      <c r="E31" s="72"/>
      <c r="F31" s="73"/>
      <c r="G31" s="73"/>
      <c r="H31" s="74"/>
      <c r="I31" s="74"/>
      <c r="J31" s="76"/>
      <c r="K31" s="76"/>
      <c r="L31" s="76"/>
      <c r="M31" s="76"/>
      <c r="N31" s="76"/>
      <c r="O31" s="76"/>
      <c r="P31" s="76"/>
      <c r="Q31" s="76"/>
      <c r="R31" s="76"/>
      <c r="S31" s="76"/>
      <c r="T31" s="76"/>
      <c r="U31" s="76"/>
      <c r="V31" s="77"/>
    </row>
    <row r="32" spans="1:25" ht="40.25" customHeight="1">
      <c r="A32" s="18"/>
      <c r="B32" s="3">
        <v>1</v>
      </c>
      <c r="C32" s="50"/>
      <c r="D32" s="21"/>
      <c r="E32" s="186"/>
      <c r="F32" s="41"/>
      <c r="G32" s="41"/>
      <c r="H32" s="83"/>
      <c r="I32" s="4"/>
      <c r="J32" s="192"/>
      <c r="K32" s="193"/>
      <c r="L32" s="193"/>
      <c r="M32" s="194"/>
      <c r="N32" s="192"/>
      <c r="O32" s="193"/>
      <c r="P32" s="193"/>
      <c r="Q32" s="194"/>
      <c r="R32" s="347"/>
      <c r="S32" s="328"/>
      <c r="T32" s="328"/>
      <c r="U32" s="348"/>
      <c r="V32" s="48"/>
    </row>
    <row r="33" spans="1:22" ht="15.65" customHeight="1">
      <c r="A33" s="18"/>
      <c r="B33" s="3">
        <v>2</v>
      </c>
      <c r="C33" s="51"/>
      <c r="D33" s="21"/>
      <c r="E33" s="187"/>
      <c r="F33" s="39"/>
      <c r="G33" s="39"/>
      <c r="H33" s="5"/>
      <c r="I33" s="4"/>
      <c r="J33" s="195"/>
      <c r="K33" s="196"/>
      <c r="L33" s="196"/>
      <c r="M33" s="197"/>
      <c r="N33" s="195"/>
      <c r="O33" s="196"/>
      <c r="P33" s="196"/>
      <c r="Q33" s="197"/>
      <c r="R33" s="344"/>
      <c r="S33" s="311"/>
      <c r="T33" s="311"/>
      <c r="U33" s="345"/>
      <c r="V33" s="27"/>
    </row>
    <row r="34" spans="1:22" ht="15.65" customHeight="1">
      <c r="A34" s="18"/>
      <c r="B34" s="3">
        <v>3</v>
      </c>
      <c r="C34" s="33"/>
      <c r="D34" s="21"/>
      <c r="E34" s="187"/>
      <c r="F34" s="39"/>
      <c r="G34" s="39"/>
      <c r="H34" s="5"/>
      <c r="I34" s="4"/>
      <c r="J34" s="195"/>
      <c r="K34" s="196"/>
      <c r="L34" s="196"/>
      <c r="M34" s="197"/>
      <c r="N34" s="195"/>
      <c r="O34" s="196"/>
      <c r="P34" s="196"/>
      <c r="Q34" s="197"/>
      <c r="R34" s="344"/>
      <c r="S34" s="311"/>
      <c r="T34" s="311"/>
      <c r="U34" s="345"/>
      <c r="V34" s="27"/>
    </row>
    <row r="35" spans="1:22" ht="15.65" customHeight="1">
      <c r="A35" s="18"/>
      <c r="B35" s="3">
        <v>4</v>
      </c>
      <c r="C35" s="44"/>
      <c r="D35" s="21"/>
      <c r="E35" s="187"/>
      <c r="F35" s="39"/>
      <c r="G35" s="39"/>
      <c r="H35" s="5"/>
      <c r="I35" s="4"/>
      <c r="J35" s="195"/>
      <c r="K35" s="196"/>
      <c r="L35" s="196"/>
      <c r="M35" s="197"/>
      <c r="N35" s="195"/>
      <c r="O35" s="196"/>
      <c r="P35" s="196"/>
      <c r="Q35" s="197"/>
      <c r="R35" s="344"/>
      <c r="S35" s="311"/>
      <c r="T35" s="311"/>
      <c r="U35" s="345"/>
      <c r="V35" s="27"/>
    </row>
    <row r="36" spans="1:22" ht="15.65" customHeight="1">
      <c r="A36" s="18"/>
      <c r="B36" s="43">
        <v>5</v>
      </c>
      <c r="C36" s="51"/>
      <c r="D36" s="44"/>
      <c r="E36" s="187"/>
      <c r="F36" s="39"/>
      <c r="G36" s="39"/>
      <c r="H36" s="5"/>
      <c r="I36" s="45"/>
      <c r="J36" s="195"/>
      <c r="K36" s="196"/>
      <c r="L36" s="196"/>
      <c r="M36" s="197"/>
      <c r="N36" s="195"/>
      <c r="O36" s="196"/>
      <c r="P36" s="196"/>
      <c r="Q36" s="197"/>
      <c r="R36" s="344"/>
      <c r="S36" s="311"/>
      <c r="T36" s="311"/>
      <c r="U36" s="345"/>
      <c r="V36" s="27"/>
    </row>
    <row r="37" spans="1:22" ht="15.65" customHeight="1">
      <c r="A37" s="18"/>
      <c r="B37" s="43">
        <v>6</v>
      </c>
      <c r="C37" s="51"/>
      <c r="D37" s="44"/>
      <c r="E37" s="187"/>
      <c r="F37" s="39"/>
      <c r="G37" s="39"/>
      <c r="H37" s="5"/>
      <c r="I37" s="45"/>
      <c r="J37" s="195"/>
      <c r="K37" s="196"/>
      <c r="L37" s="196"/>
      <c r="M37" s="197"/>
      <c r="N37" s="195"/>
      <c r="O37" s="196"/>
      <c r="P37" s="196"/>
      <c r="Q37" s="197"/>
      <c r="R37" s="344"/>
      <c r="S37" s="311"/>
      <c r="T37" s="311"/>
      <c r="U37" s="345"/>
      <c r="V37" s="27"/>
    </row>
    <row r="38" spans="1:22" ht="15.65" customHeight="1">
      <c r="A38" s="18"/>
      <c r="B38" s="3">
        <v>7</v>
      </c>
      <c r="C38" s="44"/>
      <c r="D38" s="21"/>
      <c r="E38" s="187"/>
      <c r="F38" s="39"/>
      <c r="G38" s="39"/>
      <c r="H38" s="5"/>
      <c r="I38" s="4"/>
      <c r="J38" s="195"/>
      <c r="K38" s="196"/>
      <c r="L38" s="196"/>
      <c r="M38" s="197"/>
      <c r="N38" s="195"/>
      <c r="O38" s="196"/>
      <c r="P38" s="196"/>
      <c r="Q38" s="197"/>
      <c r="R38" s="344"/>
      <c r="S38" s="311"/>
      <c r="T38" s="311"/>
      <c r="U38" s="345"/>
      <c r="V38" s="27"/>
    </row>
    <row r="39" spans="1:22" ht="15.65" customHeight="1" thickBot="1">
      <c r="A39" s="18"/>
      <c r="B39" s="43">
        <v>8</v>
      </c>
      <c r="C39" s="51"/>
      <c r="D39" s="44"/>
      <c r="E39" s="46"/>
      <c r="F39" s="40"/>
      <c r="G39" s="40"/>
      <c r="H39" s="22"/>
      <c r="I39" s="23"/>
      <c r="J39" s="198"/>
      <c r="K39" s="199"/>
      <c r="L39" s="199"/>
      <c r="M39" s="200"/>
      <c r="N39" s="198"/>
      <c r="O39" s="199"/>
      <c r="P39" s="199"/>
      <c r="Q39" s="200"/>
      <c r="R39" s="324"/>
      <c r="S39" s="325"/>
      <c r="T39" s="325"/>
      <c r="U39" s="326"/>
      <c r="V39" s="27"/>
    </row>
    <row r="40" spans="1:22" ht="15" customHeight="1" thickBot="1">
      <c r="B40" s="71"/>
      <c r="C40" s="72" t="s">
        <v>111</v>
      </c>
      <c r="D40" s="74"/>
      <c r="E40" s="72"/>
      <c r="F40" s="73"/>
      <c r="G40" s="73"/>
      <c r="H40" s="74"/>
      <c r="I40" s="74"/>
      <c r="J40" s="76"/>
      <c r="K40" s="76"/>
      <c r="L40" s="76"/>
      <c r="M40" s="76"/>
      <c r="N40" s="76"/>
      <c r="O40" s="76"/>
      <c r="P40" s="76"/>
      <c r="Q40" s="76"/>
      <c r="R40" s="76"/>
      <c r="S40" s="76"/>
      <c r="T40" s="76"/>
      <c r="U40" s="76"/>
      <c r="V40" s="77"/>
    </row>
    <row r="41" spans="1:22">
      <c r="A41" s="18"/>
      <c r="B41" s="3">
        <v>1</v>
      </c>
      <c r="C41" s="52"/>
      <c r="D41" s="19"/>
      <c r="E41" s="49"/>
      <c r="F41" s="41"/>
      <c r="G41" s="41"/>
      <c r="H41" s="19"/>
      <c r="I41" s="20"/>
      <c r="J41" s="192"/>
      <c r="K41" s="193"/>
      <c r="L41" s="193"/>
      <c r="M41" s="194"/>
      <c r="N41" s="192"/>
      <c r="O41" s="193"/>
      <c r="P41" s="193"/>
      <c r="Q41" s="194"/>
      <c r="R41" s="347"/>
      <c r="S41" s="328"/>
      <c r="T41" s="328"/>
      <c r="U41" s="348"/>
      <c r="V41" s="48"/>
    </row>
    <row r="42" spans="1:22">
      <c r="A42" s="18"/>
      <c r="B42" s="3">
        <v>2</v>
      </c>
      <c r="C42" s="53"/>
      <c r="D42" s="21"/>
      <c r="E42" s="188"/>
      <c r="F42" s="39"/>
      <c r="G42" s="39"/>
      <c r="H42" s="21"/>
      <c r="I42" s="4"/>
      <c r="J42" s="195"/>
      <c r="K42" s="196"/>
      <c r="L42" s="196"/>
      <c r="M42" s="197"/>
      <c r="N42" s="195"/>
      <c r="O42" s="196"/>
      <c r="P42" s="196"/>
      <c r="Q42" s="197"/>
      <c r="R42" s="344"/>
      <c r="S42" s="311"/>
      <c r="T42" s="311"/>
      <c r="U42" s="345"/>
      <c r="V42" s="27"/>
    </row>
    <row r="43" spans="1:22" ht="15" customHeight="1" thickBot="1">
      <c r="A43" s="18"/>
      <c r="B43" s="3">
        <v>3</v>
      </c>
      <c r="C43" s="54"/>
      <c r="D43" s="22"/>
      <c r="E43" s="189"/>
      <c r="F43" s="40"/>
      <c r="G43" s="39"/>
      <c r="H43" s="22"/>
      <c r="I43" s="23"/>
      <c r="J43" s="198"/>
      <c r="K43" s="199"/>
      <c r="L43" s="199"/>
      <c r="M43" s="200"/>
      <c r="N43" s="198"/>
      <c r="O43" s="199"/>
      <c r="P43" s="199"/>
      <c r="Q43" s="200"/>
      <c r="R43" s="324"/>
      <c r="S43" s="325"/>
      <c r="T43" s="325"/>
      <c r="U43" s="326"/>
      <c r="V43" s="27"/>
    </row>
    <row r="44" spans="1:22" ht="15" customHeight="1" thickBot="1">
      <c r="B44" s="71"/>
      <c r="C44" s="72" t="s">
        <v>112</v>
      </c>
      <c r="D44" s="74"/>
      <c r="E44" s="72"/>
      <c r="F44" s="73"/>
      <c r="G44" s="73"/>
      <c r="H44" s="74"/>
      <c r="I44" s="74"/>
      <c r="J44" s="76"/>
      <c r="K44" s="76"/>
      <c r="L44" s="76"/>
      <c r="M44" s="76"/>
      <c r="N44" s="76"/>
      <c r="O44" s="76"/>
      <c r="P44" s="76"/>
      <c r="Q44" s="76"/>
      <c r="R44" s="76"/>
      <c r="S44" s="76"/>
      <c r="T44" s="76"/>
      <c r="U44" s="76"/>
      <c r="V44" s="77"/>
    </row>
    <row r="45" spans="1:22">
      <c r="A45" s="18"/>
      <c r="B45" s="3">
        <v>1</v>
      </c>
      <c r="C45" s="24" t="s">
        <v>88</v>
      </c>
      <c r="D45" s="21"/>
      <c r="E45" s="49"/>
      <c r="F45" s="41"/>
      <c r="G45" s="41"/>
      <c r="H45" s="19" t="s">
        <v>91</v>
      </c>
      <c r="I45" s="4"/>
      <c r="J45" s="192"/>
      <c r="K45" s="193"/>
      <c r="L45" s="193"/>
      <c r="M45" s="194"/>
      <c r="N45" s="192"/>
      <c r="O45" s="193"/>
      <c r="P45" s="193">
        <v>1</v>
      </c>
      <c r="Q45" s="194"/>
      <c r="R45" s="347">
        <v>3</v>
      </c>
      <c r="S45" s="328"/>
      <c r="T45" s="328"/>
      <c r="U45" s="348"/>
      <c r="V45" s="48"/>
    </row>
    <row r="46" spans="1:22">
      <c r="A46" s="18"/>
      <c r="B46" s="3">
        <v>2</v>
      </c>
      <c r="C46" s="25"/>
      <c r="D46" s="44"/>
      <c r="E46" s="240"/>
      <c r="F46" s="241"/>
      <c r="G46" s="241"/>
      <c r="H46" s="44"/>
      <c r="I46" s="45"/>
      <c r="J46" s="242"/>
      <c r="K46" s="243"/>
      <c r="L46" s="243"/>
      <c r="M46" s="244"/>
      <c r="N46" s="242"/>
      <c r="O46" s="243"/>
      <c r="P46" s="243"/>
      <c r="Q46" s="244"/>
      <c r="R46" s="369"/>
      <c r="S46" s="370"/>
      <c r="T46" s="370"/>
      <c r="U46" s="371"/>
      <c r="V46" s="245"/>
    </row>
    <row r="47" spans="1:22">
      <c r="A47" s="18"/>
      <c r="B47" s="3">
        <v>2</v>
      </c>
      <c r="C47" s="55"/>
      <c r="D47" s="21"/>
      <c r="E47" s="188"/>
      <c r="F47" s="39"/>
      <c r="G47" s="39"/>
      <c r="H47" s="21"/>
      <c r="I47" s="4"/>
      <c r="J47" s="195"/>
      <c r="K47" s="196"/>
      <c r="L47" s="196"/>
      <c r="M47" s="197"/>
      <c r="N47" s="195"/>
      <c r="O47" s="196"/>
      <c r="P47" s="196"/>
      <c r="Q47" s="197"/>
      <c r="R47" s="344"/>
      <c r="S47" s="311"/>
      <c r="T47" s="311"/>
      <c r="U47" s="345"/>
      <c r="V47" s="27"/>
    </row>
    <row r="48" spans="1:22">
      <c r="A48" s="18"/>
      <c r="B48" s="3">
        <v>3</v>
      </c>
      <c r="C48" s="56"/>
      <c r="D48" s="21"/>
      <c r="E48" s="188"/>
      <c r="F48" s="39"/>
      <c r="G48" s="39"/>
      <c r="H48" s="21"/>
      <c r="I48" s="4"/>
      <c r="J48" s="195"/>
      <c r="K48" s="196"/>
      <c r="L48" s="196"/>
      <c r="M48" s="197"/>
      <c r="N48" s="195"/>
      <c r="O48" s="196"/>
      <c r="P48" s="196"/>
      <c r="Q48" s="197"/>
      <c r="R48" s="344"/>
      <c r="S48" s="311"/>
      <c r="T48" s="311"/>
      <c r="U48" s="345"/>
      <c r="V48" s="27"/>
    </row>
    <row r="49" spans="1:26">
      <c r="A49" s="18"/>
      <c r="B49" s="3">
        <v>4</v>
      </c>
      <c r="C49" s="55"/>
      <c r="D49" s="21"/>
      <c r="E49" s="188"/>
      <c r="F49" s="39"/>
      <c r="G49" s="39"/>
      <c r="H49" s="5"/>
      <c r="I49" s="4"/>
      <c r="J49" s="195"/>
      <c r="K49" s="196"/>
      <c r="L49" s="196"/>
      <c r="M49" s="197"/>
      <c r="N49" s="195"/>
      <c r="O49" s="196"/>
      <c r="P49" s="196"/>
      <c r="Q49" s="197"/>
      <c r="R49" s="344"/>
      <c r="S49" s="311"/>
      <c r="T49" s="311"/>
      <c r="U49" s="345"/>
      <c r="V49" s="27"/>
    </row>
    <row r="50" spans="1:26">
      <c r="A50" s="18"/>
      <c r="B50" s="3">
        <v>5</v>
      </c>
      <c r="C50" s="56"/>
      <c r="D50" s="21"/>
      <c r="E50" s="188"/>
      <c r="F50" s="39"/>
      <c r="G50" s="39"/>
      <c r="H50" s="5"/>
      <c r="I50" s="4"/>
      <c r="J50" s="195"/>
      <c r="K50" s="196"/>
      <c r="L50" s="196"/>
      <c r="M50" s="197"/>
      <c r="N50" s="195"/>
      <c r="O50" s="196"/>
      <c r="P50" s="196"/>
      <c r="Q50" s="197"/>
      <c r="R50" s="344"/>
      <c r="S50" s="311"/>
      <c r="T50" s="311"/>
      <c r="U50" s="345"/>
      <c r="V50" s="27"/>
    </row>
    <row r="51" spans="1:26">
      <c r="A51" s="18"/>
      <c r="B51" s="43">
        <v>6</v>
      </c>
      <c r="C51" s="25"/>
      <c r="D51" s="33"/>
      <c r="E51" s="188"/>
      <c r="F51" s="39"/>
      <c r="G51" s="39"/>
      <c r="H51" s="5"/>
      <c r="I51" s="4"/>
      <c r="J51" s="195"/>
      <c r="K51" s="196"/>
      <c r="L51" s="196"/>
      <c r="M51" s="197"/>
      <c r="N51" s="195"/>
      <c r="O51" s="196"/>
      <c r="P51" s="196"/>
      <c r="Q51" s="197"/>
      <c r="R51" s="344"/>
      <c r="S51" s="311"/>
      <c r="T51" s="311"/>
      <c r="U51" s="345"/>
      <c r="V51" s="27"/>
    </row>
    <row r="52" spans="1:26" ht="15" customHeight="1" thickBot="1">
      <c r="A52" s="18"/>
      <c r="B52" s="43">
        <v>7</v>
      </c>
      <c r="C52" s="26"/>
      <c r="D52" s="22"/>
      <c r="E52" s="189"/>
      <c r="F52" s="40"/>
      <c r="G52" s="39"/>
      <c r="H52" s="5"/>
      <c r="I52" s="4"/>
      <c r="J52" s="198"/>
      <c r="K52" s="199"/>
      <c r="L52" s="199"/>
      <c r="M52" s="200"/>
      <c r="N52" s="198"/>
      <c r="O52" s="199"/>
      <c r="P52" s="199"/>
      <c r="Q52" s="200"/>
      <c r="R52" s="324"/>
      <c r="S52" s="325"/>
      <c r="T52" s="325"/>
      <c r="U52" s="326"/>
      <c r="V52" s="27"/>
    </row>
    <row r="53" spans="1:26" ht="15" customHeight="1" thickBot="1">
      <c r="B53" s="71"/>
      <c r="C53" s="72" t="s">
        <v>115</v>
      </c>
      <c r="D53" s="74"/>
      <c r="E53" s="72"/>
      <c r="F53" s="73"/>
      <c r="G53" s="73"/>
      <c r="H53" s="74"/>
      <c r="I53" s="74"/>
      <c r="J53" s="76"/>
      <c r="K53" s="76"/>
      <c r="L53" s="76"/>
      <c r="M53" s="76"/>
      <c r="N53" s="76"/>
      <c r="O53" s="76"/>
      <c r="P53" s="76"/>
      <c r="Q53" s="76"/>
      <c r="R53" s="76"/>
      <c r="S53" s="76"/>
      <c r="T53" s="76"/>
      <c r="U53" s="76"/>
      <c r="V53" s="77"/>
    </row>
    <row r="54" spans="1:26">
      <c r="A54" s="18"/>
      <c r="B54" s="3">
        <v>1</v>
      </c>
      <c r="C54" s="52"/>
      <c r="D54" s="19"/>
      <c r="E54" s="49"/>
      <c r="F54" s="41"/>
      <c r="G54" s="41"/>
      <c r="H54" s="83"/>
      <c r="I54" s="20"/>
      <c r="J54" s="192"/>
      <c r="K54" s="193"/>
      <c r="L54" s="193"/>
      <c r="M54" s="194"/>
      <c r="N54" s="192"/>
      <c r="O54" s="193"/>
      <c r="P54" s="193"/>
      <c r="Q54" s="194"/>
      <c r="R54" s="347"/>
      <c r="S54" s="328"/>
      <c r="T54" s="328"/>
      <c r="U54" s="348"/>
      <c r="V54" s="48"/>
    </row>
    <row r="55" spans="1:26">
      <c r="A55" s="18"/>
      <c r="B55" s="3">
        <v>2</v>
      </c>
      <c r="C55" s="53"/>
      <c r="D55" s="21"/>
      <c r="E55" s="188"/>
      <c r="F55" s="39"/>
      <c r="G55" s="39"/>
      <c r="H55" s="5"/>
      <c r="I55" s="4"/>
      <c r="J55" s="195"/>
      <c r="K55" s="196"/>
      <c r="L55" s="196"/>
      <c r="M55" s="197"/>
      <c r="N55" s="195"/>
      <c r="O55" s="196"/>
      <c r="P55" s="196"/>
      <c r="Q55" s="197"/>
      <c r="R55" s="344"/>
      <c r="S55" s="311"/>
      <c r="T55" s="311"/>
      <c r="U55" s="345"/>
      <c r="V55" s="27"/>
    </row>
    <row r="56" spans="1:26" ht="15" customHeight="1" thickBot="1">
      <c r="A56" s="18"/>
      <c r="B56" s="3">
        <v>3</v>
      </c>
      <c r="C56" s="54"/>
      <c r="D56" s="22"/>
      <c r="E56" s="189"/>
      <c r="F56" s="40"/>
      <c r="G56" s="40"/>
      <c r="H56" s="5"/>
      <c r="I56" s="23"/>
      <c r="J56" s="198"/>
      <c r="K56" s="199"/>
      <c r="L56" s="199"/>
      <c r="M56" s="200"/>
      <c r="N56" s="198"/>
      <c r="O56" s="199"/>
      <c r="P56" s="199"/>
      <c r="Q56" s="200"/>
      <c r="R56" s="324"/>
      <c r="S56" s="325"/>
      <c r="T56" s="325"/>
      <c r="U56" s="326"/>
      <c r="V56" s="27"/>
    </row>
    <row r="57" spans="1:26" ht="15" customHeight="1" thickBot="1">
      <c r="B57" s="71"/>
      <c r="C57" s="72" t="s">
        <v>116</v>
      </c>
      <c r="D57" s="74"/>
      <c r="E57" s="72"/>
      <c r="F57" s="73"/>
      <c r="G57" s="73"/>
      <c r="H57" s="74"/>
      <c r="I57" s="74"/>
      <c r="J57" s="76"/>
      <c r="K57" s="76"/>
      <c r="L57" s="76"/>
      <c r="M57" s="76"/>
      <c r="N57" s="76"/>
      <c r="O57" s="76"/>
      <c r="P57" s="76"/>
      <c r="Q57" s="76"/>
      <c r="R57" s="76"/>
      <c r="S57" s="76"/>
      <c r="T57" s="76"/>
      <c r="U57" s="76"/>
      <c r="V57" s="77"/>
    </row>
    <row r="58" spans="1:26" ht="43.75" customHeight="1" thickBot="1">
      <c r="A58" s="18"/>
      <c r="B58" s="107">
        <v>1</v>
      </c>
      <c r="C58" s="151" t="s">
        <v>93</v>
      </c>
      <c r="D58" s="152"/>
      <c r="E58" s="190"/>
      <c r="F58" s="153"/>
      <c r="G58" s="153"/>
      <c r="H58" s="154" t="s">
        <v>95</v>
      </c>
      <c r="I58" s="108" t="s">
        <v>96</v>
      </c>
      <c r="J58" s="201"/>
      <c r="K58" s="202"/>
      <c r="L58" s="202"/>
      <c r="M58" s="203"/>
      <c r="N58" s="201"/>
      <c r="O58" s="202"/>
      <c r="P58" s="202"/>
      <c r="Q58" s="203"/>
      <c r="R58" s="351">
        <f>SUM(U62:U65)/5</f>
        <v>6.2</v>
      </c>
      <c r="S58" s="313"/>
      <c r="T58" s="313"/>
      <c r="U58" s="314"/>
      <c r="V58" s="109"/>
    </row>
    <row r="59" spans="1:26" ht="15" customHeight="1" thickBot="1">
      <c r="C59" s="9"/>
      <c r="D59" s="9"/>
      <c r="E59" s="9"/>
      <c r="F59" s="9"/>
      <c r="G59" s="9"/>
      <c r="H59" s="9"/>
      <c r="I59" s="150" t="s">
        <v>104</v>
      </c>
      <c r="J59" s="155">
        <f t="shared" ref="J59:Q59" si="3">SUM(J31:J58)</f>
        <v>0</v>
      </c>
      <c r="K59" s="156">
        <f t="shared" si="3"/>
        <v>0</v>
      </c>
      <c r="L59" s="156">
        <f t="shared" si="3"/>
        <v>0</v>
      </c>
      <c r="M59" s="156">
        <f t="shared" si="3"/>
        <v>0</v>
      </c>
      <c r="N59" s="155">
        <f t="shared" si="3"/>
        <v>0</v>
      </c>
      <c r="O59" s="156">
        <f t="shared" si="3"/>
        <v>0</v>
      </c>
      <c r="P59" s="156">
        <f t="shared" si="3"/>
        <v>1</v>
      </c>
      <c r="Q59" s="156">
        <f t="shared" si="3"/>
        <v>0</v>
      </c>
      <c r="R59" s="356">
        <f>SUM(R31:U58)</f>
        <v>9.1999999999999993</v>
      </c>
      <c r="S59" s="313"/>
      <c r="T59" s="313"/>
      <c r="U59" s="357"/>
      <c r="V59" s="9"/>
      <c r="W59" s="9"/>
      <c r="Z59" s="271"/>
    </row>
    <row r="60" spans="1:26" ht="15" customHeight="1" thickBot="1">
      <c r="C60" s="9"/>
      <c r="D60" s="9"/>
      <c r="E60" s="9"/>
      <c r="F60" s="9"/>
      <c r="G60" s="9"/>
      <c r="H60" s="9"/>
      <c r="I60" s="9"/>
      <c r="J60" s="9"/>
      <c r="K60" s="9"/>
      <c r="L60" s="9"/>
      <c r="M60" s="9"/>
      <c r="N60" s="9"/>
      <c r="O60" s="9"/>
      <c r="P60" s="9"/>
      <c r="Q60" s="9"/>
      <c r="R60" s="9"/>
      <c r="S60" s="9"/>
      <c r="T60" s="9"/>
      <c r="U60" s="9"/>
      <c r="V60" s="9"/>
      <c r="W60" s="9"/>
    </row>
    <row r="61" spans="1:26" ht="43.75" customHeight="1" thickBot="1">
      <c r="C61" s="9"/>
      <c r="D61" s="9"/>
      <c r="E61" s="9"/>
      <c r="F61" s="9"/>
      <c r="G61" s="9"/>
      <c r="H61" s="9"/>
      <c r="I61" s="9"/>
      <c r="O61" s="9"/>
      <c r="P61" s="9"/>
      <c r="R61" s="358" t="s">
        <v>120</v>
      </c>
      <c r="S61" s="313"/>
      <c r="T61" s="357"/>
      <c r="U61" s="47" t="s">
        <v>121</v>
      </c>
    </row>
    <row r="62" spans="1:26" s="10" customFormat="1">
      <c r="N62" s="157"/>
      <c r="R62" s="327" t="s">
        <v>46</v>
      </c>
      <c r="S62" s="328"/>
      <c r="T62" s="329"/>
      <c r="U62" s="147">
        <f>R26</f>
        <v>8</v>
      </c>
    </row>
    <row r="63" spans="1:26" s="10" customFormat="1">
      <c r="C63" s="304"/>
      <c r="D63" s="304"/>
      <c r="H63" s="304"/>
      <c r="I63" s="304"/>
      <c r="N63" s="157"/>
      <c r="R63" s="349" t="s">
        <v>48</v>
      </c>
      <c r="S63" s="311"/>
      <c r="T63" s="350"/>
      <c r="U63" s="149">
        <f>S26</f>
        <v>4.5</v>
      </c>
    </row>
    <row r="64" spans="1:26" s="10" customFormat="1">
      <c r="C64" s="304"/>
      <c r="D64" s="304"/>
      <c r="H64" s="304"/>
      <c r="I64" s="304"/>
      <c r="N64" s="157"/>
      <c r="R64" s="349" t="s">
        <v>50</v>
      </c>
      <c r="S64" s="311"/>
      <c r="T64" s="350"/>
      <c r="U64" s="149">
        <f>T26</f>
        <v>11.5</v>
      </c>
    </row>
    <row r="65" spans="3:22" s="10" customFormat="1">
      <c r="C65" s="304"/>
      <c r="D65" s="304"/>
      <c r="H65" s="304"/>
      <c r="I65" s="304"/>
      <c r="N65" s="157"/>
      <c r="R65" s="349" t="s">
        <v>51</v>
      </c>
      <c r="S65" s="311"/>
      <c r="T65" s="350"/>
      <c r="U65" s="149">
        <f>U26</f>
        <v>7</v>
      </c>
    </row>
    <row r="66" spans="3:22" s="10" customFormat="1">
      <c r="C66" s="304"/>
      <c r="D66" s="304"/>
      <c r="H66" s="304"/>
      <c r="I66" s="304"/>
      <c r="N66" s="157"/>
      <c r="R66" s="349" t="s">
        <v>52</v>
      </c>
      <c r="S66" s="311"/>
      <c r="T66" s="350"/>
      <c r="U66" s="149">
        <f>SUM(R31:U44)</f>
        <v>0</v>
      </c>
      <c r="V66" s="239" t="s">
        <v>122</v>
      </c>
    </row>
    <row r="67" spans="3:22" s="10" customFormat="1">
      <c r="C67" s="304"/>
      <c r="D67" s="304"/>
      <c r="H67" s="304"/>
      <c r="I67" s="304"/>
      <c r="N67" s="157"/>
      <c r="R67" s="349" t="s">
        <v>123</v>
      </c>
      <c r="S67" s="311"/>
      <c r="T67" s="350"/>
      <c r="U67" s="149">
        <f>SUM(R44:U57)</f>
        <v>3</v>
      </c>
    </row>
    <row r="68" spans="3:22" s="10" customFormat="1" ht="15" customHeight="1" thickBot="1">
      <c r="C68" s="304"/>
      <c r="D68" s="304"/>
      <c r="H68" s="304"/>
      <c r="I68" s="304"/>
      <c r="R68" s="355" t="s">
        <v>44</v>
      </c>
      <c r="S68" s="325"/>
      <c r="T68" s="334"/>
      <c r="U68" s="148">
        <f>SUM(R57:U58)</f>
        <v>6.2</v>
      </c>
    </row>
    <row r="69" spans="3:22" s="10" customFormat="1">
      <c r="C69" s="304"/>
      <c r="D69" s="304"/>
      <c r="H69" s="304"/>
      <c r="I69" s="304"/>
      <c r="R69" s="368" t="s">
        <v>54</v>
      </c>
      <c r="S69" s="328"/>
      <c r="T69" s="329"/>
      <c r="U69" s="69">
        <f>SUM(U62:U68)</f>
        <v>40.200000000000003</v>
      </c>
    </row>
    <row r="70" spans="3:22" s="10" customFormat="1" ht="15" customHeight="1" thickBot="1">
      <c r="K70" s="11"/>
      <c r="L70" s="11"/>
      <c r="R70" s="364" t="s">
        <v>124</v>
      </c>
      <c r="S70" s="325"/>
      <c r="T70" s="334"/>
      <c r="U70" s="70">
        <f>U69/20</f>
        <v>2.0100000000000002</v>
      </c>
    </row>
    <row r="71" spans="3:22">
      <c r="R71" s="10"/>
      <c r="S71" s="10"/>
      <c r="T71" s="10"/>
      <c r="U71" s="10"/>
    </row>
  </sheetData>
  <autoFilter ref="A7:Y10"/>
  <mergeCells count="79">
    <mergeCell ref="C5:C7"/>
    <mergeCell ref="J6:M6"/>
    <mergeCell ref="E5:E7"/>
    <mergeCell ref="R64:T64"/>
    <mergeCell ref="R37:U37"/>
    <mergeCell ref="E28:E30"/>
    <mergeCell ref="R63:T63"/>
    <mergeCell ref="R35:U35"/>
    <mergeCell ref="L18:L22"/>
    <mergeCell ref="N18:N22"/>
    <mergeCell ref="R70:T70"/>
    <mergeCell ref="U18:U22"/>
    <mergeCell ref="M18:M22"/>
    <mergeCell ref="C28:C30"/>
    <mergeCell ref="R18:R22"/>
    <mergeCell ref="R49:U49"/>
    <mergeCell ref="R34:U34"/>
    <mergeCell ref="R67:T67"/>
    <mergeCell ref="R36:U36"/>
    <mergeCell ref="R69:T69"/>
    <mergeCell ref="F18:F22"/>
    <mergeCell ref="R42:U42"/>
    <mergeCell ref="D28:D30"/>
    <mergeCell ref="F28:F30"/>
    <mergeCell ref="R46:U46"/>
    <mergeCell ref="R28:U29"/>
    <mergeCell ref="R66:T66"/>
    <mergeCell ref="H18:H22"/>
    <mergeCell ref="J18:J22"/>
    <mergeCell ref="T18:T22"/>
    <mergeCell ref="R68:T68"/>
    <mergeCell ref="R59:U59"/>
    <mergeCell ref="R61:T61"/>
    <mergeCell ref="H28:I28"/>
    <mergeCell ref="R45:U45"/>
    <mergeCell ref="R47:U47"/>
    <mergeCell ref="I18:I22"/>
    <mergeCell ref="J28:M29"/>
    <mergeCell ref="R39:U39"/>
    <mergeCell ref="R48:U48"/>
    <mergeCell ref="R38:U38"/>
    <mergeCell ref="K18:K22"/>
    <mergeCell ref="R65:T65"/>
    <mergeCell ref="R56:U56"/>
    <mergeCell ref="R43:U43"/>
    <mergeCell ref="R58:U58"/>
    <mergeCell ref="R33:U33"/>
    <mergeCell ref="R62:T62"/>
    <mergeCell ref="J5:M5"/>
    <mergeCell ref="R30:U30"/>
    <mergeCell ref="I29:I30"/>
    <mergeCell ref="N28:Q29"/>
    <mergeCell ref="R6:U6"/>
    <mergeCell ref="O18:O22"/>
    <mergeCell ref="Q18:Q22"/>
    <mergeCell ref="S18:S22"/>
    <mergeCell ref="N5:Q5"/>
    <mergeCell ref="R55:U55"/>
    <mergeCell ref="I6:I7"/>
    <mergeCell ref="R51:U51"/>
    <mergeCell ref="R54:U54"/>
    <mergeCell ref="R32:U32"/>
    <mergeCell ref="R41:U41"/>
    <mergeCell ref="B2:V2"/>
    <mergeCell ref="D5:D7"/>
    <mergeCell ref="B5:B7"/>
    <mergeCell ref="P18:P22"/>
    <mergeCell ref="R52:U52"/>
    <mergeCell ref="R50:U50"/>
    <mergeCell ref="G28:G30"/>
    <mergeCell ref="V5:V7"/>
    <mergeCell ref="F5:F7"/>
    <mergeCell ref="V28:V30"/>
    <mergeCell ref="H5:I5"/>
    <mergeCell ref="G18:G22"/>
    <mergeCell ref="G5:G7"/>
    <mergeCell ref="N6:Q6"/>
    <mergeCell ref="B28:B30"/>
    <mergeCell ref="R5:U5"/>
  </mergeCells>
  <hyperlinks>
    <hyperlink ref="J6" location="難易度別標準工数!A1" display="難易度別標準工数"/>
  </hyperlinks>
  <pageMargins left="0.39370078740157483" right="0.39370078740157483" top="0.39370078740157483" bottom="0.39370078740157483" header="0.19685039370078741" footer="0.19685039370078741"/>
  <pageSetup paperSize="9" scale="5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showGridLines="0" zoomScale="115" zoomScaleNormal="115" workbookViewId="0">
      <pane ySplit="5" topLeftCell="A6" activePane="bottomLeft" state="frozen"/>
      <selection pane="bottomLeft"/>
    </sheetView>
  </sheetViews>
  <sheetFormatPr defaultRowHeight="13"/>
  <cols>
    <col min="1" max="1" width="3" style="296" customWidth="1"/>
    <col min="3" max="3" width="43.453125" style="158" customWidth="1"/>
    <col min="4" max="4" width="9.08984375" style="296" bestFit="1" customWidth="1"/>
    <col min="5" max="7" width="9.54296875" style="296" bestFit="1" customWidth="1"/>
    <col min="8" max="8" width="29.90625" style="296" customWidth="1"/>
  </cols>
  <sheetData>
    <row r="1" spans="1:10" ht="13.75" customHeight="1" thickBot="1"/>
    <row r="2" spans="1:10" ht="25.25" customHeight="1" thickBot="1">
      <c r="B2" s="316" t="str">
        <f ca="1">見積総額!B2&amp;"　" &amp; RIGHT(CELL("filename", A1), LEN(CELL("filename", A1))-FIND("]",CELL("filename", A1)))</f>
        <v>Sample Project　難易度別標準工数</v>
      </c>
      <c r="C2" s="313"/>
      <c r="D2" s="313"/>
      <c r="E2" s="313"/>
      <c r="F2" s="313"/>
      <c r="G2" s="313"/>
      <c r="H2" s="314"/>
    </row>
    <row r="3" spans="1:10" s="1" customFormat="1" ht="14.4" customHeight="1">
      <c r="H3" s="68" t="s">
        <v>125</v>
      </c>
    </row>
    <row r="4" spans="1:10">
      <c r="H4" s="175" t="s">
        <v>61</v>
      </c>
    </row>
    <row r="5" spans="1:10" ht="21.65" customHeight="1" thickBot="1">
      <c r="B5" s="168" t="s">
        <v>66</v>
      </c>
      <c r="C5" s="169" t="s">
        <v>126</v>
      </c>
      <c r="D5" s="170" t="s">
        <v>46</v>
      </c>
      <c r="E5" s="171" t="s">
        <v>48</v>
      </c>
      <c r="F5" s="171" t="s">
        <v>50</v>
      </c>
      <c r="G5" s="172" t="s">
        <v>51</v>
      </c>
      <c r="H5" s="168" t="s">
        <v>72</v>
      </c>
    </row>
    <row r="6" spans="1:10" ht="45" customHeight="1">
      <c r="B6" s="165" t="s">
        <v>127</v>
      </c>
      <c r="C6" s="166" t="s">
        <v>128</v>
      </c>
      <c r="D6" s="374" t="s">
        <v>129</v>
      </c>
      <c r="E6" s="337"/>
      <c r="F6" s="337"/>
      <c r="G6" s="375"/>
      <c r="H6" s="167"/>
    </row>
    <row r="7" spans="1:10" ht="45" customHeight="1">
      <c r="A7" s="98"/>
      <c r="B7" s="161" t="s">
        <v>80</v>
      </c>
      <c r="C7" s="160" t="s">
        <v>130</v>
      </c>
      <c r="D7" s="162">
        <v>5</v>
      </c>
      <c r="E7" s="163">
        <v>3</v>
      </c>
      <c r="F7" s="163">
        <v>7</v>
      </c>
      <c r="G7" s="164">
        <v>5</v>
      </c>
      <c r="H7" s="159"/>
    </row>
    <row r="8" spans="1:10" ht="45" customHeight="1">
      <c r="B8" s="161" t="s">
        <v>85</v>
      </c>
      <c r="C8" s="160" t="s">
        <v>131</v>
      </c>
      <c r="D8" s="162">
        <v>3</v>
      </c>
      <c r="E8" s="163">
        <v>1.5</v>
      </c>
      <c r="F8" s="163">
        <v>4.5</v>
      </c>
      <c r="G8" s="164">
        <v>3</v>
      </c>
      <c r="H8" s="159"/>
    </row>
    <row r="9" spans="1:10" ht="45" customHeight="1">
      <c r="B9" s="161" t="s">
        <v>90</v>
      </c>
      <c r="C9" s="160" t="s">
        <v>132</v>
      </c>
      <c r="D9" s="162">
        <v>1</v>
      </c>
      <c r="E9" s="163">
        <v>1</v>
      </c>
      <c r="F9" s="163">
        <v>2</v>
      </c>
      <c r="G9" s="164">
        <v>1</v>
      </c>
      <c r="H9" s="159"/>
      <c r="J9" s="270"/>
    </row>
    <row r="10" spans="1:10" ht="45" customHeight="1">
      <c r="B10" s="161" t="s">
        <v>133</v>
      </c>
      <c r="C10" s="160" t="s">
        <v>134</v>
      </c>
      <c r="D10" s="162"/>
      <c r="E10" s="163"/>
      <c r="F10" s="163"/>
      <c r="G10" s="164"/>
      <c r="H10" s="159"/>
    </row>
    <row r="11" spans="1:10" ht="19.25" customHeight="1">
      <c r="B11" s="173" t="s">
        <v>135</v>
      </c>
    </row>
    <row r="12" spans="1:10" ht="19.25" customHeight="1">
      <c r="B12" s="174" t="s">
        <v>136</v>
      </c>
    </row>
    <row r="13" spans="1:10" ht="19.25" customHeight="1">
      <c r="B13" s="174" t="s">
        <v>137</v>
      </c>
    </row>
    <row r="14" spans="1:10" ht="19.25" customHeight="1">
      <c r="B14" s="174" t="s">
        <v>138</v>
      </c>
    </row>
    <row r="15" spans="1:10" ht="19.25" customHeight="1">
      <c r="B15" s="174" t="s">
        <v>139</v>
      </c>
    </row>
  </sheetData>
  <mergeCells count="2">
    <mergeCell ref="B2:H2"/>
    <mergeCell ref="D6:G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showGridLines="0" topLeftCell="A4" zoomScale="70" zoomScaleNormal="70" workbookViewId="0">
      <selection activeCell="T33" sqref="T33"/>
    </sheetView>
  </sheetViews>
  <sheetFormatPr defaultRowHeight="13"/>
  <cols>
    <col min="1" max="1" width="3.90625" style="296" customWidth="1"/>
  </cols>
  <sheetData>
    <row r="1" spans="2:11" s="88" customFormat="1" ht="13.75" customHeight="1" thickBot="1"/>
    <row r="2" spans="2:11" s="65" customFormat="1" ht="37.4" customHeight="1" thickBot="1">
      <c r="B2" s="315" t="str">
        <f ca="1">見積総額!B2&amp;"　" &amp; RIGHT(CELL("filename", A1), LEN(CELL("filename", A1))-FIND("]",CELL("filename", A1)))</f>
        <v>Sample Project　体制</v>
      </c>
      <c r="C2" s="313"/>
      <c r="D2" s="313"/>
      <c r="E2" s="313"/>
      <c r="F2" s="313"/>
      <c r="G2" s="313"/>
      <c r="H2" s="313"/>
      <c r="I2" s="313"/>
      <c r="J2" s="313"/>
      <c r="K2" s="314"/>
    </row>
    <row r="3" spans="2:11" ht="15" customHeight="1">
      <c r="K3" s="68" t="s">
        <v>140</v>
      </c>
    </row>
    <row r="41" spans="3:10" ht="16.75" customHeight="1">
      <c r="C41" s="293"/>
      <c r="D41" s="293"/>
      <c r="E41" s="294"/>
      <c r="F41" s="293"/>
      <c r="G41" s="295"/>
      <c r="H41" s="294"/>
      <c r="I41" s="294"/>
      <c r="J41" s="295"/>
    </row>
    <row r="42" spans="3:10" ht="16.75" customHeight="1">
      <c r="C42" s="290"/>
      <c r="D42" s="290"/>
      <c r="E42" s="291"/>
      <c r="F42" s="290"/>
      <c r="G42" s="292"/>
      <c r="H42" s="291"/>
      <c r="I42" s="291"/>
      <c r="J42" s="292"/>
    </row>
    <row r="43" spans="3:10" ht="16.75" customHeight="1">
      <c r="C43" s="290"/>
      <c r="D43" s="290"/>
      <c r="E43" s="291"/>
      <c r="F43" s="290"/>
      <c r="G43" s="292"/>
      <c r="H43" s="291"/>
      <c r="I43" s="291"/>
      <c r="J43" s="292"/>
    </row>
    <row r="44" spans="3:10" ht="16.75" customHeight="1">
      <c r="C44" s="290"/>
      <c r="D44" s="290"/>
      <c r="E44" s="291"/>
      <c r="F44" s="290"/>
      <c r="G44" s="292"/>
      <c r="H44" s="291"/>
      <c r="I44" s="291"/>
      <c r="J44" s="292"/>
    </row>
    <row r="45" spans="3:10" ht="16.75" customHeight="1">
      <c r="C45" s="290"/>
      <c r="D45" s="290"/>
      <c r="E45" s="291"/>
      <c r="F45" s="290"/>
      <c r="G45" s="292"/>
      <c r="H45" s="291"/>
      <c r="I45" s="291"/>
      <c r="J45" s="292"/>
    </row>
    <row r="46" spans="3:10" ht="16.75" customHeight="1">
      <c r="C46" s="290"/>
      <c r="D46" s="290"/>
      <c r="E46" s="291"/>
      <c r="F46" s="290"/>
      <c r="G46" s="292"/>
      <c r="H46" s="291"/>
      <c r="I46" s="291"/>
      <c r="J46" s="292"/>
    </row>
    <row r="47" spans="3:10" ht="16.75" customHeight="1">
      <c r="C47" s="290"/>
      <c r="D47" s="290"/>
      <c r="E47" s="291"/>
      <c r="F47" s="290"/>
      <c r="G47" s="292"/>
      <c r="H47" s="291"/>
      <c r="I47" s="291"/>
      <c r="J47" s="292"/>
    </row>
    <row r="48" spans="3:10" ht="16.75" customHeight="1">
      <c r="C48" s="288"/>
      <c r="D48" s="288"/>
      <c r="E48" s="287"/>
      <c r="F48" s="288"/>
      <c r="G48" s="289"/>
      <c r="H48" s="287"/>
      <c r="I48" s="287"/>
      <c r="J48" s="289"/>
    </row>
  </sheetData>
  <mergeCells count="1">
    <mergeCell ref="B2:K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showGridLines="0" topLeftCell="B1" workbookViewId="0">
      <pane ySplit="4" topLeftCell="A5" activePane="bottomLeft" state="frozen"/>
      <selection activeCell="B1" sqref="B1"/>
      <selection pane="bottomLeft" activeCell="B1" sqref="B1"/>
    </sheetView>
  </sheetViews>
  <sheetFormatPr defaultColWidth="9" defaultRowHeight="15"/>
  <cols>
    <col min="1" max="1" width="14.08984375" style="214" hidden="1" customWidth="1"/>
    <col min="2" max="2" width="4.08984375" style="214" customWidth="1"/>
    <col min="3" max="3" width="4.90625" style="214" customWidth="1"/>
    <col min="4" max="4" width="16" style="214" customWidth="1"/>
    <col min="5" max="5" width="32.90625" style="214" customWidth="1"/>
    <col min="6" max="6" width="68.6328125" style="214" customWidth="1"/>
    <col min="7" max="7" width="10" style="214" customWidth="1"/>
    <col min="8" max="254" width="9" style="214" customWidth="1"/>
    <col min="255" max="255" width="0" style="214" hidden="1"/>
    <col min="256" max="256" width="4.08984375" style="214" customWidth="1"/>
    <col min="257" max="257" width="4.90625" style="214" customWidth="1"/>
    <col min="258" max="258" width="16" style="214" customWidth="1"/>
    <col min="259" max="259" width="32.90625" style="214" customWidth="1"/>
    <col min="260" max="260" width="65.453125" style="214" customWidth="1"/>
    <col min="261" max="261" width="8.6328125" style="214" customWidth="1"/>
    <col min="262" max="510" width="9" style="214" customWidth="1"/>
    <col min="511" max="511" width="0" style="214" hidden="1"/>
    <col min="512" max="512" width="4.08984375" style="214" customWidth="1"/>
    <col min="513" max="513" width="4.90625" style="214" customWidth="1"/>
    <col min="514" max="514" width="16" style="214" customWidth="1"/>
    <col min="515" max="515" width="32.90625" style="214" customWidth="1"/>
    <col min="516" max="516" width="65.453125" style="214" customWidth="1"/>
    <col min="517" max="517" width="8.6328125" style="214" customWidth="1"/>
    <col min="518" max="766" width="9" style="214" customWidth="1"/>
    <col min="767" max="767" width="0" style="214" hidden="1"/>
    <col min="768" max="768" width="4.08984375" style="214" customWidth="1"/>
    <col min="769" max="769" width="4.90625" style="214" customWidth="1"/>
    <col min="770" max="770" width="16" style="214" customWidth="1"/>
    <col min="771" max="771" width="32.90625" style="214" customWidth="1"/>
    <col min="772" max="772" width="65.453125" style="214" customWidth="1"/>
    <col min="773" max="773" width="8.6328125" style="214" customWidth="1"/>
    <col min="774" max="1022" width="9" style="214" customWidth="1"/>
    <col min="1023" max="1023" width="0" style="214" hidden="1"/>
    <col min="1024" max="1024" width="4.08984375" style="214" customWidth="1"/>
    <col min="1025" max="1025" width="4.90625" style="214" customWidth="1"/>
    <col min="1026" max="1026" width="16" style="214" customWidth="1"/>
    <col min="1027" max="1027" width="32.90625" style="214" customWidth="1"/>
    <col min="1028" max="1028" width="65.453125" style="214" customWidth="1"/>
    <col min="1029" max="1029" width="8.6328125" style="214" customWidth="1"/>
    <col min="1030" max="1278" width="9" style="214" customWidth="1"/>
    <col min="1279" max="1279" width="0" style="214" hidden="1"/>
    <col min="1280" max="1280" width="4.08984375" style="214" customWidth="1"/>
    <col min="1281" max="1281" width="4.90625" style="214" customWidth="1"/>
    <col min="1282" max="1282" width="16" style="214" customWidth="1"/>
    <col min="1283" max="1283" width="32.90625" style="214" customWidth="1"/>
    <col min="1284" max="1284" width="65.453125" style="214" customWidth="1"/>
    <col min="1285" max="1285" width="8.6328125" style="214" customWidth="1"/>
    <col min="1286" max="1534" width="9" style="214" customWidth="1"/>
    <col min="1535" max="1535" width="0" style="214" hidden="1"/>
    <col min="1536" max="1536" width="4.08984375" style="214" customWidth="1"/>
    <col min="1537" max="1537" width="4.90625" style="214" customWidth="1"/>
    <col min="1538" max="1538" width="16" style="214" customWidth="1"/>
    <col min="1539" max="1539" width="32.90625" style="214" customWidth="1"/>
    <col min="1540" max="1540" width="65.453125" style="214" customWidth="1"/>
    <col min="1541" max="1541" width="8.6328125" style="214" customWidth="1"/>
    <col min="1542" max="1790" width="9" style="214" customWidth="1"/>
    <col min="1791" max="1791" width="0" style="214" hidden="1"/>
    <col min="1792" max="1792" width="4.08984375" style="214" customWidth="1"/>
    <col min="1793" max="1793" width="4.90625" style="214" customWidth="1"/>
    <col min="1794" max="1794" width="16" style="214" customWidth="1"/>
    <col min="1795" max="1795" width="32.90625" style="214" customWidth="1"/>
    <col min="1796" max="1796" width="65.453125" style="214" customWidth="1"/>
    <col min="1797" max="1797" width="8.6328125" style="214" customWidth="1"/>
    <col min="1798" max="2046" width="9" style="214" customWidth="1"/>
    <col min="2047" max="2047" width="0" style="214" hidden="1"/>
    <col min="2048" max="2048" width="4.08984375" style="214" customWidth="1"/>
    <col min="2049" max="2049" width="4.90625" style="214" customWidth="1"/>
    <col min="2050" max="2050" width="16" style="214" customWidth="1"/>
    <col min="2051" max="2051" width="32.90625" style="214" customWidth="1"/>
    <col min="2052" max="2052" width="65.453125" style="214" customWidth="1"/>
    <col min="2053" max="2053" width="8.6328125" style="214" customWidth="1"/>
    <col min="2054" max="2302" width="9" style="214" customWidth="1"/>
    <col min="2303" max="2303" width="0" style="214" hidden="1"/>
    <col min="2304" max="2304" width="4.08984375" style="214" customWidth="1"/>
    <col min="2305" max="2305" width="4.90625" style="214" customWidth="1"/>
    <col min="2306" max="2306" width="16" style="214" customWidth="1"/>
    <col min="2307" max="2307" width="32.90625" style="214" customWidth="1"/>
    <col min="2308" max="2308" width="65.453125" style="214" customWidth="1"/>
    <col min="2309" max="2309" width="8.6328125" style="214" customWidth="1"/>
    <col min="2310" max="2558" width="9" style="214" customWidth="1"/>
    <col min="2559" max="2559" width="0" style="214" hidden="1"/>
    <col min="2560" max="2560" width="4.08984375" style="214" customWidth="1"/>
    <col min="2561" max="2561" width="4.90625" style="214" customWidth="1"/>
    <col min="2562" max="2562" width="16" style="214" customWidth="1"/>
    <col min="2563" max="2563" width="32.90625" style="214" customWidth="1"/>
    <col min="2564" max="2564" width="65.453125" style="214" customWidth="1"/>
    <col min="2565" max="2565" width="8.6328125" style="214" customWidth="1"/>
    <col min="2566" max="2814" width="9" style="214" customWidth="1"/>
    <col min="2815" max="2815" width="0" style="214" hidden="1"/>
    <col min="2816" max="2816" width="4.08984375" style="214" customWidth="1"/>
    <col min="2817" max="2817" width="4.90625" style="214" customWidth="1"/>
    <col min="2818" max="2818" width="16" style="214" customWidth="1"/>
    <col min="2819" max="2819" width="32.90625" style="214" customWidth="1"/>
    <col min="2820" max="2820" width="65.453125" style="214" customWidth="1"/>
    <col min="2821" max="2821" width="8.6328125" style="214" customWidth="1"/>
    <col min="2822" max="3070" width="9" style="214" customWidth="1"/>
    <col min="3071" max="3071" width="0" style="214" hidden="1"/>
    <col min="3072" max="3072" width="4.08984375" style="214" customWidth="1"/>
    <col min="3073" max="3073" width="4.90625" style="214" customWidth="1"/>
    <col min="3074" max="3074" width="16" style="214" customWidth="1"/>
    <col min="3075" max="3075" width="32.90625" style="214" customWidth="1"/>
    <col min="3076" max="3076" width="65.453125" style="214" customWidth="1"/>
    <col min="3077" max="3077" width="8.6328125" style="214" customWidth="1"/>
    <col min="3078" max="3326" width="9" style="214" customWidth="1"/>
    <col min="3327" max="3327" width="0" style="214" hidden="1"/>
    <col min="3328" max="3328" width="4.08984375" style="214" customWidth="1"/>
    <col min="3329" max="3329" width="4.90625" style="214" customWidth="1"/>
    <col min="3330" max="3330" width="16" style="214" customWidth="1"/>
    <col min="3331" max="3331" width="32.90625" style="214" customWidth="1"/>
    <col min="3332" max="3332" width="65.453125" style="214" customWidth="1"/>
    <col min="3333" max="3333" width="8.6328125" style="214" customWidth="1"/>
    <col min="3334" max="3582" width="9" style="214" customWidth="1"/>
    <col min="3583" max="3583" width="0" style="214" hidden="1"/>
    <col min="3584" max="3584" width="4.08984375" style="214" customWidth="1"/>
    <col min="3585" max="3585" width="4.90625" style="214" customWidth="1"/>
    <col min="3586" max="3586" width="16" style="214" customWidth="1"/>
    <col min="3587" max="3587" width="32.90625" style="214" customWidth="1"/>
    <col min="3588" max="3588" width="65.453125" style="214" customWidth="1"/>
    <col min="3589" max="3589" width="8.6328125" style="214" customWidth="1"/>
    <col min="3590" max="3838" width="9" style="214" customWidth="1"/>
    <col min="3839" max="3839" width="0" style="214" hidden="1"/>
    <col min="3840" max="3840" width="4.08984375" style="214" customWidth="1"/>
    <col min="3841" max="3841" width="4.90625" style="214" customWidth="1"/>
    <col min="3842" max="3842" width="16" style="214" customWidth="1"/>
    <col min="3843" max="3843" width="32.90625" style="214" customWidth="1"/>
    <col min="3844" max="3844" width="65.453125" style="214" customWidth="1"/>
    <col min="3845" max="3845" width="8.6328125" style="214" customWidth="1"/>
    <col min="3846" max="4094" width="9" style="214" customWidth="1"/>
    <col min="4095" max="4095" width="0" style="214" hidden="1"/>
    <col min="4096" max="4096" width="4.08984375" style="214" customWidth="1"/>
    <col min="4097" max="4097" width="4.90625" style="214" customWidth="1"/>
    <col min="4098" max="4098" width="16" style="214" customWidth="1"/>
    <col min="4099" max="4099" width="32.90625" style="214" customWidth="1"/>
    <col min="4100" max="4100" width="65.453125" style="214" customWidth="1"/>
    <col min="4101" max="4101" width="8.6328125" style="214" customWidth="1"/>
    <col min="4102" max="4350" width="9" style="214" customWidth="1"/>
    <col min="4351" max="4351" width="0" style="214" hidden="1"/>
    <col min="4352" max="4352" width="4.08984375" style="214" customWidth="1"/>
    <col min="4353" max="4353" width="4.90625" style="214" customWidth="1"/>
    <col min="4354" max="4354" width="16" style="214" customWidth="1"/>
    <col min="4355" max="4355" width="32.90625" style="214" customWidth="1"/>
    <col min="4356" max="4356" width="65.453125" style="214" customWidth="1"/>
    <col min="4357" max="4357" width="8.6328125" style="214" customWidth="1"/>
    <col min="4358" max="4606" width="9" style="214" customWidth="1"/>
    <col min="4607" max="4607" width="0" style="214" hidden="1"/>
    <col min="4608" max="4608" width="4.08984375" style="214" customWidth="1"/>
    <col min="4609" max="4609" width="4.90625" style="214" customWidth="1"/>
    <col min="4610" max="4610" width="16" style="214" customWidth="1"/>
    <col min="4611" max="4611" width="32.90625" style="214" customWidth="1"/>
    <col min="4612" max="4612" width="65.453125" style="214" customWidth="1"/>
    <col min="4613" max="4613" width="8.6328125" style="214" customWidth="1"/>
    <col min="4614" max="4862" width="9" style="214" customWidth="1"/>
    <col min="4863" max="4863" width="0" style="214" hidden="1"/>
    <col min="4864" max="4864" width="4.08984375" style="214" customWidth="1"/>
    <col min="4865" max="4865" width="4.90625" style="214" customWidth="1"/>
    <col min="4866" max="4866" width="16" style="214" customWidth="1"/>
    <col min="4867" max="4867" width="32.90625" style="214" customWidth="1"/>
    <col min="4868" max="4868" width="65.453125" style="214" customWidth="1"/>
    <col min="4869" max="4869" width="8.6328125" style="214" customWidth="1"/>
    <col min="4870" max="5118" width="9" style="214" customWidth="1"/>
    <col min="5119" max="5119" width="0" style="214" hidden="1"/>
    <col min="5120" max="5120" width="4.08984375" style="214" customWidth="1"/>
    <col min="5121" max="5121" width="4.90625" style="214" customWidth="1"/>
    <col min="5122" max="5122" width="16" style="214" customWidth="1"/>
    <col min="5123" max="5123" width="32.90625" style="214" customWidth="1"/>
    <col min="5124" max="5124" width="65.453125" style="214" customWidth="1"/>
    <col min="5125" max="5125" width="8.6328125" style="214" customWidth="1"/>
    <col min="5126" max="5374" width="9" style="214" customWidth="1"/>
    <col min="5375" max="5375" width="0" style="214" hidden="1"/>
    <col min="5376" max="5376" width="4.08984375" style="214" customWidth="1"/>
    <col min="5377" max="5377" width="4.90625" style="214" customWidth="1"/>
    <col min="5378" max="5378" width="16" style="214" customWidth="1"/>
    <col min="5379" max="5379" width="32.90625" style="214" customWidth="1"/>
    <col min="5380" max="5380" width="65.453125" style="214" customWidth="1"/>
    <col min="5381" max="5381" width="8.6328125" style="214" customWidth="1"/>
    <col min="5382" max="5630" width="9" style="214" customWidth="1"/>
    <col min="5631" max="5631" width="0" style="214" hidden="1"/>
    <col min="5632" max="5632" width="4.08984375" style="214" customWidth="1"/>
    <col min="5633" max="5633" width="4.90625" style="214" customWidth="1"/>
    <col min="5634" max="5634" width="16" style="214" customWidth="1"/>
    <col min="5635" max="5635" width="32.90625" style="214" customWidth="1"/>
    <col min="5636" max="5636" width="65.453125" style="214" customWidth="1"/>
    <col min="5637" max="5637" width="8.6328125" style="214" customWidth="1"/>
    <col min="5638" max="5886" width="9" style="214" customWidth="1"/>
    <col min="5887" max="5887" width="0" style="214" hidden="1"/>
    <col min="5888" max="5888" width="4.08984375" style="214" customWidth="1"/>
    <col min="5889" max="5889" width="4.90625" style="214" customWidth="1"/>
    <col min="5890" max="5890" width="16" style="214" customWidth="1"/>
    <col min="5891" max="5891" width="32.90625" style="214" customWidth="1"/>
    <col min="5892" max="5892" width="65.453125" style="214" customWidth="1"/>
    <col min="5893" max="5893" width="8.6328125" style="214" customWidth="1"/>
    <col min="5894" max="6142" width="9" style="214" customWidth="1"/>
    <col min="6143" max="6143" width="0" style="214" hidden="1"/>
    <col min="6144" max="6144" width="4.08984375" style="214" customWidth="1"/>
    <col min="6145" max="6145" width="4.90625" style="214" customWidth="1"/>
    <col min="6146" max="6146" width="16" style="214" customWidth="1"/>
    <col min="6147" max="6147" width="32.90625" style="214" customWidth="1"/>
    <col min="6148" max="6148" width="65.453125" style="214" customWidth="1"/>
    <col min="6149" max="6149" width="8.6328125" style="214" customWidth="1"/>
    <col min="6150" max="6398" width="9" style="214" customWidth="1"/>
    <col min="6399" max="6399" width="0" style="214" hidden="1"/>
    <col min="6400" max="6400" width="4.08984375" style="214" customWidth="1"/>
    <col min="6401" max="6401" width="4.90625" style="214" customWidth="1"/>
    <col min="6402" max="6402" width="16" style="214" customWidth="1"/>
    <col min="6403" max="6403" width="32.90625" style="214" customWidth="1"/>
    <col min="6404" max="6404" width="65.453125" style="214" customWidth="1"/>
    <col min="6405" max="6405" width="8.6328125" style="214" customWidth="1"/>
    <col min="6406" max="6654" width="9" style="214" customWidth="1"/>
    <col min="6655" max="6655" width="0" style="214" hidden="1"/>
    <col min="6656" max="6656" width="4.08984375" style="214" customWidth="1"/>
    <col min="6657" max="6657" width="4.90625" style="214" customWidth="1"/>
    <col min="6658" max="6658" width="16" style="214" customWidth="1"/>
    <col min="6659" max="6659" width="32.90625" style="214" customWidth="1"/>
    <col min="6660" max="6660" width="65.453125" style="214" customWidth="1"/>
    <col min="6661" max="6661" width="8.6328125" style="214" customWidth="1"/>
    <col min="6662" max="6910" width="9" style="214" customWidth="1"/>
    <col min="6911" max="6911" width="0" style="214" hidden="1"/>
    <col min="6912" max="6912" width="4.08984375" style="214" customWidth="1"/>
    <col min="6913" max="6913" width="4.90625" style="214" customWidth="1"/>
    <col min="6914" max="6914" width="16" style="214" customWidth="1"/>
    <col min="6915" max="6915" width="32.90625" style="214" customWidth="1"/>
    <col min="6916" max="6916" width="65.453125" style="214" customWidth="1"/>
    <col min="6917" max="6917" width="8.6328125" style="214" customWidth="1"/>
    <col min="6918" max="7166" width="9" style="214" customWidth="1"/>
    <col min="7167" max="7167" width="0" style="214" hidden="1"/>
    <col min="7168" max="7168" width="4.08984375" style="214" customWidth="1"/>
    <col min="7169" max="7169" width="4.90625" style="214" customWidth="1"/>
    <col min="7170" max="7170" width="16" style="214" customWidth="1"/>
    <col min="7171" max="7171" width="32.90625" style="214" customWidth="1"/>
    <col min="7172" max="7172" width="65.453125" style="214" customWidth="1"/>
    <col min="7173" max="7173" width="8.6328125" style="214" customWidth="1"/>
    <col min="7174" max="7422" width="9" style="214" customWidth="1"/>
    <col min="7423" max="7423" width="0" style="214" hidden="1"/>
    <col min="7424" max="7424" width="4.08984375" style="214" customWidth="1"/>
    <col min="7425" max="7425" width="4.90625" style="214" customWidth="1"/>
    <col min="7426" max="7426" width="16" style="214" customWidth="1"/>
    <col min="7427" max="7427" width="32.90625" style="214" customWidth="1"/>
    <col min="7428" max="7428" width="65.453125" style="214" customWidth="1"/>
    <col min="7429" max="7429" width="8.6328125" style="214" customWidth="1"/>
    <col min="7430" max="7678" width="9" style="214" customWidth="1"/>
    <col min="7679" max="7679" width="0" style="214" hidden="1"/>
    <col min="7680" max="7680" width="4.08984375" style="214" customWidth="1"/>
    <col min="7681" max="7681" width="4.90625" style="214" customWidth="1"/>
    <col min="7682" max="7682" width="16" style="214" customWidth="1"/>
    <col min="7683" max="7683" width="32.90625" style="214" customWidth="1"/>
    <col min="7684" max="7684" width="65.453125" style="214" customWidth="1"/>
    <col min="7685" max="7685" width="8.6328125" style="214" customWidth="1"/>
    <col min="7686" max="7934" width="9" style="214" customWidth="1"/>
    <col min="7935" max="7935" width="0" style="214" hidden="1"/>
    <col min="7936" max="7936" width="4.08984375" style="214" customWidth="1"/>
    <col min="7937" max="7937" width="4.90625" style="214" customWidth="1"/>
    <col min="7938" max="7938" width="16" style="214" customWidth="1"/>
    <col min="7939" max="7939" width="32.90625" style="214" customWidth="1"/>
    <col min="7940" max="7940" width="65.453125" style="214" customWidth="1"/>
    <col min="7941" max="7941" width="8.6328125" style="214" customWidth="1"/>
    <col min="7942" max="8190" width="9" style="214" customWidth="1"/>
    <col min="8191" max="8191" width="0" style="214" hidden="1"/>
    <col min="8192" max="8192" width="4.08984375" style="214" customWidth="1"/>
    <col min="8193" max="8193" width="4.90625" style="214" customWidth="1"/>
    <col min="8194" max="8194" width="16" style="214" customWidth="1"/>
    <col min="8195" max="8195" width="32.90625" style="214" customWidth="1"/>
    <col min="8196" max="8196" width="65.453125" style="214" customWidth="1"/>
    <col min="8197" max="8197" width="8.6328125" style="214" customWidth="1"/>
    <col min="8198" max="8446" width="9" style="214" customWidth="1"/>
    <col min="8447" max="8447" width="0" style="214" hidden="1"/>
    <col min="8448" max="8448" width="4.08984375" style="214" customWidth="1"/>
    <col min="8449" max="8449" width="4.90625" style="214" customWidth="1"/>
    <col min="8450" max="8450" width="16" style="214" customWidth="1"/>
    <col min="8451" max="8451" width="32.90625" style="214" customWidth="1"/>
    <col min="8452" max="8452" width="65.453125" style="214" customWidth="1"/>
    <col min="8453" max="8453" width="8.6328125" style="214" customWidth="1"/>
    <col min="8454" max="8702" width="9" style="214" customWidth="1"/>
    <col min="8703" max="8703" width="0" style="214" hidden="1"/>
    <col min="8704" max="8704" width="4.08984375" style="214" customWidth="1"/>
    <col min="8705" max="8705" width="4.90625" style="214" customWidth="1"/>
    <col min="8706" max="8706" width="16" style="214" customWidth="1"/>
    <col min="8707" max="8707" width="32.90625" style="214" customWidth="1"/>
    <col min="8708" max="8708" width="65.453125" style="214" customWidth="1"/>
    <col min="8709" max="8709" width="8.6328125" style="214" customWidth="1"/>
    <col min="8710" max="8958" width="9" style="214" customWidth="1"/>
    <col min="8959" max="8959" width="0" style="214" hidden="1"/>
    <col min="8960" max="8960" width="4.08984375" style="214" customWidth="1"/>
    <col min="8961" max="8961" width="4.90625" style="214" customWidth="1"/>
    <col min="8962" max="8962" width="16" style="214" customWidth="1"/>
    <col min="8963" max="8963" width="32.90625" style="214" customWidth="1"/>
    <col min="8964" max="8964" width="65.453125" style="214" customWidth="1"/>
    <col min="8965" max="8965" width="8.6328125" style="214" customWidth="1"/>
    <col min="8966" max="9214" width="9" style="214" customWidth="1"/>
    <col min="9215" max="9215" width="0" style="214" hidden="1"/>
    <col min="9216" max="9216" width="4.08984375" style="214" customWidth="1"/>
    <col min="9217" max="9217" width="4.90625" style="214" customWidth="1"/>
    <col min="9218" max="9218" width="16" style="214" customWidth="1"/>
    <col min="9219" max="9219" width="32.90625" style="214" customWidth="1"/>
    <col min="9220" max="9220" width="65.453125" style="214" customWidth="1"/>
    <col min="9221" max="9221" width="8.6328125" style="214" customWidth="1"/>
    <col min="9222" max="9470" width="9" style="214" customWidth="1"/>
    <col min="9471" max="9471" width="0" style="214" hidden="1"/>
    <col min="9472" max="9472" width="4.08984375" style="214" customWidth="1"/>
    <col min="9473" max="9473" width="4.90625" style="214" customWidth="1"/>
    <col min="9474" max="9474" width="16" style="214" customWidth="1"/>
    <col min="9475" max="9475" width="32.90625" style="214" customWidth="1"/>
    <col min="9476" max="9476" width="65.453125" style="214" customWidth="1"/>
    <col min="9477" max="9477" width="8.6328125" style="214" customWidth="1"/>
    <col min="9478" max="9726" width="9" style="214" customWidth="1"/>
    <col min="9727" max="9727" width="0" style="214" hidden="1"/>
    <col min="9728" max="9728" width="4.08984375" style="214" customWidth="1"/>
    <col min="9729" max="9729" width="4.90625" style="214" customWidth="1"/>
    <col min="9730" max="9730" width="16" style="214" customWidth="1"/>
    <col min="9731" max="9731" width="32.90625" style="214" customWidth="1"/>
    <col min="9732" max="9732" width="65.453125" style="214" customWidth="1"/>
    <col min="9733" max="9733" width="8.6328125" style="214" customWidth="1"/>
    <col min="9734" max="9982" width="9" style="214" customWidth="1"/>
    <col min="9983" max="9983" width="0" style="214" hidden="1"/>
    <col min="9984" max="9984" width="4.08984375" style="214" customWidth="1"/>
    <col min="9985" max="9985" width="4.90625" style="214" customWidth="1"/>
    <col min="9986" max="9986" width="16" style="214" customWidth="1"/>
    <col min="9987" max="9987" width="32.90625" style="214" customWidth="1"/>
    <col min="9988" max="9988" width="65.453125" style="214" customWidth="1"/>
    <col min="9989" max="9989" width="8.6328125" style="214" customWidth="1"/>
    <col min="9990" max="10238" width="9" style="214" customWidth="1"/>
    <col min="10239" max="10239" width="0" style="214" hidden="1"/>
    <col min="10240" max="10240" width="4.08984375" style="214" customWidth="1"/>
    <col min="10241" max="10241" width="4.90625" style="214" customWidth="1"/>
    <col min="10242" max="10242" width="16" style="214" customWidth="1"/>
    <col min="10243" max="10243" width="32.90625" style="214" customWidth="1"/>
    <col min="10244" max="10244" width="65.453125" style="214" customWidth="1"/>
    <col min="10245" max="10245" width="8.6328125" style="214" customWidth="1"/>
    <col min="10246" max="10494" width="9" style="214" customWidth="1"/>
    <col min="10495" max="10495" width="0" style="214" hidden="1"/>
    <col min="10496" max="10496" width="4.08984375" style="214" customWidth="1"/>
    <col min="10497" max="10497" width="4.90625" style="214" customWidth="1"/>
    <col min="10498" max="10498" width="16" style="214" customWidth="1"/>
    <col min="10499" max="10499" width="32.90625" style="214" customWidth="1"/>
    <col min="10500" max="10500" width="65.453125" style="214" customWidth="1"/>
    <col min="10501" max="10501" width="8.6328125" style="214" customWidth="1"/>
    <col min="10502" max="10750" width="9" style="214" customWidth="1"/>
    <col min="10751" max="10751" width="0" style="214" hidden="1"/>
    <col min="10752" max="10752" width="4.08984375" style="214" customWidth="1"/>
    <col min="10753" max="10753" width="4.90625" style="214" customWidth="1"/>
    <col min="10754" max="10754" width="16" style="214" customWidth="1"/>
    <col min="10755" max="10755" width="32.90625" style="214" customWidth="1"/>
    <col min="10756" max="10756" width="65.453125" style="214" customWidth="1"/>
    <col min="10757" max="10757" width="8.6328125" style="214" customWidth="1"/>
    <col min="10758" max="11006" width="9" style="214" customWidth="1"/>
    <col min="11007" max="11007" width="0" style="214" hidden="1"/>
    <col min="11008" max="11008" width="4.08984375" style="214" customWidth="1"/>
    <col min="11009" max="11009" width="4.90625" style="214" customWidth="1"/>
    <col min="11010" max="11010" width="16" style="214" customWidth="1"/>
    <col min="11011" max="11011" width="32.90625" style="214" customWidth="1"/>
    <col min="11012" max="11012" width="65.453125" style="214" customWidth="1"/>
    <col min="11013" max="11013" width="8.6328125" style="214" customWidth="1"/>
    <col min="11014" max="11262" width="9" style="214" customWidth="1"/>
    <col min="11263" max="11263" width="0" style="214" hidden="1"/>
    <col min="11264" max="11264" width="4.08984375" style="214" customWidth="1"/>
    <col min="11265" max="11265" width="4.90625" style="214" customWidth="1"/>
    <col min="11266" max="11266" width="16" style="214" customWidth="1"/>
    <col min="11267" max="11267" width="32.90625" style="214" customWidth="1"/>
    <col min="11268" max="11268" width="65.453125" style="214" customWidth="1"/>
    <col min="11269" max="11269" width="8.6328125" style="214" customWidth="1"/>
    <col min="11270" max="11518" width="9" style="214" customWidth="1"/>
    <col min="11519" max="11519" width="0" style="214" hidden="1"/>
    <col min="11520" max="11520" width="4.08984375" style="214" customWidth="1"/>
    <col min="11521" max="11521" width="4.90625" style="214" customWidth="1"/>
    <col min="11522" max="11522" width="16" style="214" customWidth="1"/>
    <col min="11523" max="11523" width="32.90625" style="214" customWidth="1"/>
    <col min="11524" max="11524" width="65.453125" style="214" customWidth="1"/>
    <col min="11525" max="11525" width="8.6328125" style="214" customWidth="1"/>
    <col min="11526" max="11774" width="9" style="214" customWidth="1"/>
    <col min="11775" max="11775" width="0" style="214" hidden="1"/>
    <col min="11776" max="11776" width="4.08984375" style="214" customWidth="1"/>
    <col min="11777" max="11777" width="4.90625" style="214" customWidth="1"/>
    <col min="11778" max="11778" width="16" style="214" customWidth="1"/>
    <col min="11779" max="11779" width="32.90625" style="214" customWidth="1"/>
    <col min="11780" max="11780" width="65.453125" style="214" customWidth="1"/>
    <col min="11781" max="11781" width="8.6328125" style="214" customWidth="1"/>
    <col min="11782" max="12030" width="9" style="214" customWidth="1"/>
    <col min="12031" max="12031" width="0" style="214" hidden="1"/>
    <col min="12032" max="12032" width="4.08984375" style="214" customWidth="1"/>
    <col min="12033" max="12033" width="4.90625" style="214" customWidth="1"/>
    <col min="12034" max="12034" width="16" style="214" customWidth="1"/>
    <col min="12035" max="12035" width="32.90625" style="214" customWidth="1"/>
    <col min="12036" max="12036" width="65.453125" style="214" customWidth="1"/>
    <col min="12037" max="12037" width="8.6328125" style="214" customWidth="1"/>
    <col min="12038" max="12286" width="9" style="214" customWidth="1"/>
    <col min="12287" max="12287" width="0" style="214" hidden="1"/>
    <col min="12288" max="12288" width="4.08984375" style="214" customWidth="1"/>
    <col min="12289" max="12289" width="4.90625" style="214" customWidth="1"/>
    <col min="12290" max="12290" width="16" style="214" customWidth="1"/>
    <col min="12291" max="12291" width="32.90625" style="214" customWidth="1"/>
    <col min="12292" max="12292" width="65.453125" style="214" customWidth="1"/>
    <col min="12293" max="12293" width="8.6328125" style="214" customWidth="1"/>
    <col min="12294" max="12542" width="9" style="214" customWidth="1"/>
    <col min="12543" max="12543" width="0" style="214" hidden="1"/>
    <col min="12544" max="12544" width="4.08984375" style="214" customWidth="1"/>
    <col min="12545" max="12545" width="4.90625" style="214" customWidth="1"/>
    <col min="12546" max="12546" width="16" style="214" customWidth="1"/>
    <col min="12547" max="12547" width="32.90625" style="214" customWidth="1"/>
    <col min="12548" max="12548" width="65.453125" style="214" customWidth="1"/>
    <col min="12549" max="12549" width="8.6328125" style="214" customWidth="1"/>
    <col min="12550" max="12798" width="9" style="214" customWidth="1"/>
    <col min="12799" max="12799" width="0" style="214" hidden="1"/>
    <col min="12800" max="12800" width="4.08984375" style="214" customWidth="1"/>
    <col min="12801" max="12801" width="4.90625" style="214" customWidth="1"/>
    <col min="12802" max="12802" width="16" style="214" customWidth="1"/>
    <col min="12803" max="12803" width="32.90625" style="214" customWidth="1"/>
    <col min="12804" max="12804" width="65.453125" style="214" customWidth="1"/>
    <col min="12805" max="12805" width="8.6328125" style="214" customWidth="1"/>
    <col min="12806" max="13054" width="9" style="214" customWidth="1"/>
    <col min="13055" max="13055" width="0" style="214" hidden="1"/>
    <col min="13056" max="13056" width="4.08984375" style="214" customWidth="1"/>
    <col min="13057" max="13057" width="4.90625" style="214" customWidth="1"/>
    <col min="13058" max="13058" width="16" style="214" customWidth="1"/>
    <col min="13059" max="13059" width="32.90625" style="214" customWidth="1"/>
    <col min="13060" max="13060" width="65.453125" style="214" customWidth="1"/>
    <col min="13061" max="13061" width="8.6328125" style="214" customWidth="1"/>
    <col min="13062" max="13310" width="9" style="214" customWidth="1"/>
    <col min="13311" max="13311" width="0" style="214" hidden="1"/>
    <col min="13312" max="13312" width="4.08984375" style="214" customWidth="1"/>
    <col min="13313" max="13313" width="4.90625" style="214" customWidth="1"/>
    <col min="13314" max="13314" width="16" style="214" customWidth="1"/>
    <col min="13315" max="13315" width="32.90625" style="214" customWidth="1"/>
    <col min="13316" max="13316" width="65.453125" style="214" customWidth="1"/>
    <col min="13317" max="13317" width="8.6328125" style="214" customWidth="1"/>
    <col min="13318" max="13566" width="9" style="214" customWidth="1"/>
    <col min="13567" max="13567" width="0" style="214" hidden="1"/>
    <col min="13568" max="13568" width="4.08984375" style="214" customWidth="1"/>
    <col min="13569" max="13569" width="4.90625" style="214" customWidth="1"/>
    <col min="13570" max="13570" width="16" style="214" customWidth="1"/>
    <col min="13571" max="13571" width="32.90625" style="214" customWidth="1"/>
    <col min="13572" max="13572" width="65.453125" style="214" customWidth="1"/>
    <col min="13573" max="13573" width="8.6328125" style="214" customWidth="1"/>
    <col min="13574" max="13822" width="9" style="214" customWidth="1"/>
    <col min="13823" max="13823" width="0" style="214" hidden="1"/>
    <col min="13824" max="13824" width="4.08984375" style="214" customWidth="1"/>
    <col min="13825" max="13825" width="4.90625" style="214" customWidth="1"/>
    <col min="13826" max="13826" width="16" style="214" customWidth="1"/>
    <col min="13827" max="13827" width="32.90625" style="214" customWidth="1"/>
    <col min="13828" max="13828" width="65.453125" style="214" customWidth="1"/>
    <col min="13829" max="13829" width="8.6328125" style="214" customWidth="1"/>
    <col min="13830" max="14078" width="9" style="214" customWidth="1"/>
    <col min="14079" max="14079" width="0" style="214" hidden="1"/>
    <col min="14080" max="14080" width="4.08984375" style="214" customWidth="1"/>
    <col min="14081" max="14081" width="4.90625" style="214" customWidth="1"/>
    <col min="14082" max="14082" width="16" style="214" customWidth="1"/>
    <col min="14083" max="14083" width="32.90625" style="214" customWidth="1"/>
    <col min="14084" max="14084" width="65.453125" style="214" customWidth="1"/>
    <col min="14085" max="14085" width="8.6328125" style="214" customWidth="1"/>
    <col min="14086" max="14334" width="9" style="214" customWidth="1"/>
    <col min="14335" max="14335" width="0" style="214" hidden="1"/>
    <col min="14336" max="14336" width="4.08984375" style="214" customWidth="1"/>
    <col min="14337" max="14337" width="4.90625" style="214" customWidth="1"/>
    <col min="14338" max="14338" width="16" style="214" customWidth="1"/>
    <col min="14339" max="14339" width="32.90625" style="214" customWidth="1"/>
    <col min="14340" max="14340" width="65.453125" style="214" customWidth="1"/>
    <col min="14341" max="14341" width="8.6328125" style="214" customWidth="1"/>
    <col min="14342" max="14590" width="9" style="214" customWidth="1"/>
    <col min="14591" max="14591" width="0" style="214" hidden="1"/>
    <col min="14592" max="14592" width="4.08984375" style="214" customWidth="1"/>
    <col min="14593" max="14593" width="4.90625" style="214" customWidth="1"/>
    <col min="14594" max="14594" width="16" style="214" customWidth="1"/>
    <col min="14595" max="14595" width="32.90625" style="214" customWidth="1"/>
    <col min="14596" max="14596" width="65.453125" style="214" customWidth="1"/>
    <col min="14597" max="14597" width="8.6328125" style="214" customWidth="1"/>
    <col min="14598" max="14846" width="9" style="214" customWidth="1"/>
    <col min="14847" max="14847" width="0" style="214" hidden="1"/>
    <col min="14848" max="14848" width="4.08984375" style="214" customWidth="1"/>
    <col min="14849" max="14849" width="4.90625" style="214" customWidth="1"/>
    <col min="14850" max="14850" width="16" style="214" customWidth="1"/>
    <col min="14851" max="14851" width="32.90625" style="214" customWidth="1"/>
    <col min="14852" max="14852" width="65.453125" style="214" customWidth="1"/>
    <col min="14853" max="14853" width="8.6328125" style="214" customWidth="1"/>
    <col min="14854" max="15102" width="9" style="214" customWidth="1"/>
    <col min="15103" max="15103" width="0" style="214" hidden="1"/>
    <col min="15104" max="15104" width="4.08984375" style="214" customWidth="1"/>
    <col min="15105" max="15105" width="4.90625" style="214" customWidth="1"/>
    <col min="15106" max="15106" width="16" style="214" customWidth="1"/>
    <col min="15107" max="15107" width="32.90625" style="214" customWidth="1"/>
    <col min="15108" max="15108" width="65.453125" style="214" customWidth="1"/>
    <col min="15109" max="15109" width="8.6328125" style="214" customWidth="1"/>
    <col min="15110" max="15358" width="9" style="214" customWidth="1"/>
    <col min="15359" max="15359" width="0" style="214" hidden="1"/>
    <col min="15360" max="15360" width="4.08984375" style="214" customWidth="1"/>
    <col min="15361" max="15361" width="4.90625" style="214" customWidth="1"/>
    <col min="15362" max="15362" width="16" style="214" customWidth="1"/>
    <col min="15363" max="15363" width="32.90625" style="214" customWidth="1"/>
    <col min="15364" max="15364" width="65.453125" style="214" customWidth="1"/>
    <col min="15365" max="15365" width="8.6328125" style="214" customWidth="1"/>
    <col min="15366" max="15614" width="9" style="214" customWidth="1"/>
    <col min="15615" max="15615" width="0" style="214" hidden="1"/>
    <col min="15616" max="15616" width="4.08984375" style="214" customWidth="1"/>
    <col min="15617" max="15617" width="4.90625" style="214" customWidth="1"/>
    <col min="15618" max="15618" width="16" style="214" customWidth="1"/>
    <col min="15619" max="15619" width="32.90625" style="214" customWidth="1"/>
    <col min="15620" max="15620" width="65.453125" style="214" customWidth="1"/>
    <col min="15621" max="15621" width="8.6328125" style="214" customWidth="1"/>
    <col min="15622" max="15870" width="9" style="214" customWidth="1"/>
    <col min="15871" max="15871" width="0" style="214" hidden="1"/>
    <col min="15872" max="15872" width="4.08984375" style="214" customWidth="1"/>
    <col min="15873" max="15873" width="4.90625" style="214" customWidth="1"/>
    <col min="15874" max="15874" width="16" style="214" customWidth="1"/>
    <col min="15875" max="15875" width="32.90625" style="214" customWidth="1"/>
    <col min="15876" max="15876" width="65.453125" style="214" customWidth="1"/>
    <col min="15877" max="15877" width="8.6328125" style="214" customWidth="1"/>
    <col min="15878" max="16126" width="9" style="214" customWidth="1"/>
    <col min="16127" max="16127" width="0" style="214" hidden="1"/>
    <col min="16128" max="16128" width="4.08984375" style="214" customWidth="1"/>
    <col min="16129" max="16129" width="4.90625" style="214" customWidth="1"/>
    <col min="16130" max="16130" width="16" style="214" customWidth="1"/>
    <col min="16131" max="16131" width="32.90625" style="214" customWidth="1"/>
    <col min="16132" max="16132" width="65.453125" style="214" customWidth="1"/>
    <col min="16133" max="16133" width="8.6328125" style="214" customWidth="1"/>
    <col min="16134" max="16384" width="9" style="214" customWidth="1"/>
  </cols>
  <sheetData>
    <row r="1" spans="1:7" ht="15.65" customHeight="1" thickBot="1"/>
    <row r="2" spans="1:7" ht="25.25" customHeight="1" thickBot="1">
      <c r="C2" s="316" t="str">
        <f ca="1">見積総額!B2&amp;"　" &amp; RIGHT(CELL("filename", A1), LEN(CELL("filename", A1))-FIND("]",CELL("filename", A1)))</f>
        <v>Sample Project　成果物</v>
      </c>
      <c r="D2" s="313"/>
      <c r="E2" s="313"/>
      <c r="F2" s="313"/>
      <c r="G2" s="314"/>
    </row>
    <row r="3" spans="1:7" ht="15.65" customHeight="1" thickBot="1">
      <c r="G3" s="68" t="s">
        <v>60</v>
      </c>
    </row>
    <row r="4" spans="1:7" ht="15.65" customHeight="1" thickBot="1">
      <c r="C4" s="34" t="s">
        <v>141</v>
      </c>
      <c r="D4" s="35" t="s">
        <v>58</v>
      </c>
      <c r="E4" s="35" t="s">
        <v>32</v>
      </c>
      <c r="F4" s="35" t="s">
        <v>126</v>
      </c>
      <c r="G4" s="228" t="s">
        <v>142</v>
      </c>
    </row>
    <row r="5" spans="1:7">
      <c r="A5" s="215" t="s">
        <v>46</v>
      </c>
      <c r="C5" s="216">
        <f t="shared" ref="C5:C37" si="0">ROW()-4</f>
        <v>1</v>
      </c>
      <c r="D5" s="379" t="s">
        <v>46</v>
      </c>
      <c r="E5" s="218" t="s">
        <v>143</v>
      </c>
      <c r="F5" s="219" t="s">
        <v>144</v>
      </c>
      <c r="G5" s="230" t="s">
        <v>145</v>
      </c>
    </row>
    <row r="6" spans="1:7">
      <c r="A6" s="221"/>
      <c r="C6" s="216">
        <f t="shared" si="0"/>
        <v>2</v>
      </c>
      <c r="D6" s="318"/>
      <c r="E6" s="218" t="s">
        <v>146</v>
      </c>
      <c r="F6" s="219" t="s">
        <v>147</v>
      </c>
      <c r="G6" s="230" t="s">
        <v>148</v>
      </c>
    </row>
    <row r="7" spans="1:7">
      <c r="A7" s="221"/>
      <c r="C7" s="216">
        <f t="shared" si="0"/>
        <v>3</v>
      </c>
      <c r="D7" s="318"/>
      <c r="E7" s="218" t="s">
        <v>149</v>
      </c>
      <c r="F7" s="218" t="s">
        <v>150</v>
      </c>
      <c r="G7" s="230" t="s">
        <v>148</v>
      </c>
    </row>
    <row r="8" spans="1:7" ht="135" customHeight="1">
      <c r="A8" s="221" t="s">
        <v>151</v>
      </c>
      <c r="C8" s="216">
        <f t="shared" si="0"/>
        <v>4</v>
      </c>
      <c r="D8" s="318"/>
      <c r="E8" s="216" t="s">
        <v>152</v>
      </c>
      <c r="F8" s="217" t="s">
        <v>153</v>
      </c>
      <c r="G8" s="230" t="s">
        <v>148</v>
      </c>
    </row>
    <row r="9" spans="1:7" ht="79.5" customHeight="1">
      <c r="A9" s="220" t="s">
        <v>154</v>
      </c>
      <c r="C9" s="216">
        <f t="shared" si="0"/>
        <v>5</v>
      </c>
      <c r="D9" s="318"/>
      <c r="E9" s="219" t="s">
        <v>155</v>
      </c>
      <c r="F9" s="219" t="s">
        <v>156</v>
      </c>
      <c r="G9" s="230" t="s">
        <v>148</v>
      </c>
    </row>
    <row r="10" spans="1:7" ht="60" customHeight="1">
      <c r="A10" s="222" t="s">
        <v>44</v>
      </c>
      <c r="C10" s="216">
        <f t="shared" si="0"/>
        <v>6</v>
      </c>
      <c r="D10" s="318"/>
      <c r="E10" s="218" t="s">
        <v>157</v>
      </c>
      <c r="F10" s="219" t="s">
        <v>158</v>
      </c>
      <c r="G10" s="230" t="s">
        <v>148</v>
      </c>
    </row>
    <row r="11" spans="1:7">
      <c r="A11" s="229"/>
      <c r="C11" s="216">
        <f t="shared" si="0"/>
        <v>7</v>
      </c>
      <c r="D11" s="318"/>
      <c r="E11" s="218" t="s">
        <v>159</v>
      </c>
      <c r="F11" s="218" t="s">
        <v>160</v>
      </c>
      <c r="G11" s="230" t="s">
        <v>148</v>
      </c>
    </row>
    <row r="12" spans="1:7">
      <c r="A12" s="229"/>
      <c r="C12" s="216">
        <f t="shared" si="0"/>
        <v>8</v>
      </c>
      <c r="D12" s="318"/>
      <c r="E12" s="218" t="s">
        <v>161</v>
      </c>
      <c r="F12" s="218" t="s">
        <v>162</v>
      </c>
      <c r="G12" s="230" t="s">
        <v>148</v>
      </c>
    </row>
    <row r="13" spans="1:7">
      <c r="C13" s="216">
        <f t="shared" si="0"/>
        <v>9</v>
      </c>
      <c r="D13" s="318"/>
      <c r="E13" s="218" t="s">
        <v>163</v>
      </c>
      <c r="F13" s="218" t="s">
        <v>164</v>
      </c>
      <c r="G13" s="230" t="s">
        <v>148</v>
      </c>
    </row>
    <row r="14" spans="1:7" ht="60" customHeight="1">
      <c r="C14" s="216">
        <f t="shared" si="0"/>
        <v>10</v>
      </c>
      <c r="D14" s="318"/>
      <c r="E14" s="219" t="s">
        <v>165</v>
      </c>
      <c r="F14" s="219" t="s">
        <v>166</v>
      </c>
      <c r="G14" s="230" t="s">
        <v>145</v>
      </c>
    </row>
    <row r="15" spans="1:7" ht="30" customHeight="1">
      <c r="C15" s="216">
        <f t="shared" si="0"/>
        <v>11</v>
      </c>
      <c r="D15" s="318"/>
      <c r="E15" s="223" t="s">
        <v>167</v>
      </c>
      <c r="F15" s="225" t="s">
        <v>168</v>
      </c>
      <c r="G15" s="231" t="s">
        <v>148</v>
      </c>
    </row>
    <row r="16" spans="1:7">
      <c r="C16" s="216">
        <f t="shared" si="0"/>
        <v>12</v>
      </c>
      <c r="D16" s="378" t="s">
        <v>169</v>
      </c>
      <c r="E16" s="218" t="s">
        <v>170</v>
      </c>
      <c r="F16" s="218" t="s">
        <v>171</v>
      </c>
      <c r="G16" s="230" t="s">
        <v>145</v>
      </c>
    </row>
    <row r="17" spans="3:7" ht="30" customHeight="1">
      <c r="C17" s="216">
        <f t="shared" si="0"/>
        <v>13</v>
      </c>
      <c r="D17" s="318"/>
      <c r="E17" s="218" t="s">
        <v>172</v>
      </c>
      <c r="F17" s="219" t="s">
        <v>173</v>
      </c>
      <c r="G17" s="231" t="s">
        <v>148</v>
      </c>
    </row>
    <row r="18" spans="3:7" ht="30" customHeight="1">
      <c r="C18" s="216">
        <f t="shared" si="0"/>
        <v>14</v>
      </c>
      <c r="D18" s="318"/>
      <c r="E18" s="218" t="s">
        <v>174</v>
      </c>
      <c r="F18" s="219" t="s">
        <v>175</v>
      </c>
      <c r="G18" s="231" t="s">
        <v>145</v>
      </c>
    </row>
    <row r="19" spans="3:7" ht="62.9" customHeight="1">
      <c r="C19" s="216">
        <f t="shared" si="0"/>
        <v>15</v>
      </c>
      <c r="D19" s="306"/>
      <c r="E19" s="219" t="s">
        <v>176</v>
      </c>
      <c r="F19" s="219" t="s">
        <v>177</v>
      </c>
      <c r="G19" s="230" t="s">
        <v>148</v>
      </c>
    </row>
    <row r="20" spans="3:7" ht="30" customHeight="1">
      <c r="C20" s="216">
        <f t="shared" si="0"/>
        <v>16</v>
      </c>
      <c r="D20" s="226" t="s">
        <v>51</v>
      </c>
      <c r="E20" s="218" t="s">
        <v>178</v>
      </c>
      <c r="F20" s="219" t="s">
        <v>179</v>
      </c>
      <c r="G20" s="230" t="s">
        <v>148</v>
      </c>
    </row>
    <row r="21" spans="3:7" ht="35.9" customHeight="1">
      <c r="C21" s="216">
        <f t="shared" si="0"/>
        <v>17</v>
      </c>
      <c r="D21" s="227"/>
      <c r="E21" s="218" t="s">
        <v>180</v>
      </c>
      <c r="F21" s="219" t="s">
        <v>181</v>
      </c>
      <c r="G21" s="230" t="s">
        <v>145</v>
      </c>
    </row>
    <row r="22" spans="3:7">
      <c r="C22" s="216">
        <f t="shared" si="0"/>
        <v>18</v>
      </c>
      <c r="D22" s="224"/>
      <c r="E22" s="218" t="s">
        <v>182</v>
      </c>
      <c r="F22" s="218" t="s">
        <v>183</v>
      </c>
      <c r="G22" s="230" t="s">
        <v>148</v>
      </c>
    </row>
    <row r="23" spans="3:7" ht="30" customHeight="1">
      <c r="C23" s="216">
        <f t="shared" si="0"/>
        <v>19</v>
      </c>
      <c r="D23" s="376" t="s">
        <v>151</v>
      </c>
      <c r="E23" s="219" t="s">
        <v>184</v>
      </c>
      <c r="F23" s="219" t="s">
        <v>185</v>
      </c>
      <c r="G23" s="230" t="s">
        <v>148</v>
      </c>
    </row>
    <row r="24" spans="3:7" ht="30" customHeight="1">
      <c r="C24" s="216">
        <f t="shared" si="0"/>
        <v>20</v>
      </c>
      <c r="D24" s="318"/>
      <c r="E24" s="218" t="s">
        <v>186</v>
      </c>
      <c r="F24" s="219" t="s">
        <v>187</v>
      </c>
      <c r="G24" s="230" t="s">
        <v>148</v>
      </c>
    </row>
    <row r="25" spans="3:7" ht="30" customHeight="1">
      <c r="C25" s="216">
        <f t="shared" si="0"/>
        <v>21</v>
      </c>
      <c r="D25" s="318"/>
      <c r="E25" s="218" t="s">
        <v>188</v>
      </c>
      <c r="F25" s="219" t="s">
        <v>189</v>
      </c>
      <c r="G25" s="230" t="s">
        <v>148</v>
      </c>
    </row>
    <row r="26" spans="3:7" ht="30" customHeight="1">
      <c r="C26" s="216">
        <f t="shared" si="0"/>
        <v>22</v>
      </c>
      <c r="D26" s="378" t="s">
        <v>190</v>
      </c>
      <c r="E26" s="218" t="s">
        <v>191</v>
      </c>
      <c r="F26" s="219" t="s">
        <v>192</v>
      </c>
      <c r="G26" s="230" t="s">
        <v>148</v>
      </c>
    </row>
    <row r="27" spans="3:7" ht="30" customHeight="1">
      <c r="C27" s="216">
        <f t="shared" si="0"/>
        <v>23</v>
      </c>
      <c r="D27" s="318"/>
      <c r="E27" s="218" t="s">
        <v>193</v>
      </c>
      <c r="F27" s="219" t="s">
        <v>194</v>
      </c>
      <c r="G27" s="230" t="s">
        <v>148</v>
      </c>
    </row>
    <row r="28" spans="3:7" ht="60" customHeight="1">
      <c r="C28" s="216">
        <f t="shared" si="0"/>
        <v>24</v>
      </c>
      <c r="D28" s="318"/>
      <c r="E28" s="218" t="s">
        <v>195</v>
      </c>
      <c r="F28" s="219" t="s">
        <v>196</v>
      </c>
      <c r="G28" s="230" t="s">
        <v>148</v>
      </c>
    </row>
    <row r="29" spans="3:7" ht="45" customHeight="1">
      <c r="C29" s="216">
        <f t="shared" si="0"/>
        <v>25</v>
      </c>
      <c r="D29" s="318"/>
      <c r="E29" s="219" t="s">
        <v>197</v>
      </c>
      <c r="F29" s="219" t="s">
        <v>198</v>
      </c>
      <c r="G29" s="230" t="s">
        <v>148</v>
      </c>
    </row>
    <row r="30" spans="3:7" ht="45" customHeight="1">
      <c r="C30" s="216">
        <f t="shared" si="0"/>
        <v>26</v>
      </c>
      <c r="D30" s="318"/>
      <c r="E30" s="219" t="s">
        <v>199</v>
      </c>
      <c r="F30" s="219" t="s">
        <v>200</v>
      </c>
      <c r="G30" s="230" t="s">
        <v>148</v>
      </c>
    </row>
    <row r="31" spans="3:7">
      <c r="C31" s="216">
        <f t="shared" si="0"/>
        <v>27</v>
      </c>
      <c r="D31" s="306"/>
      <c r="E31" s="218" t="s">
        <v>201</v>
      </c>
      <c r="F31" s="219" t="s">
        <v>202</v>
      </c>
      <c r="G31" s="230" t="s">
        <v>148</v>
      </c>
    </row>
    <row r="32" spans="3:7">
      <c r="C32" s="216">
        <f t="shared" si="0"/>
        <v>28</v>
      </c>
      <c r="D32" s="377" t="s">
        <v>203</v>
      </c>
      <c r="E32" s="218" t="s">
        <v>204</v>
      </c>
      <c r="F32" s="219" t="s">
        <v>205</v>
      </c>
      <c r="G32" s="230" t="s">
        <v>148</v>
      </c>
    </row>
    <row r="33" spans="3:7" ht="60" customHeight="1">
      <c r="C33" s="216">
        <f t="shared" si="0"/>
        <v>29</v>
      </c>
      <c r="D33" s="318"/>
      <c r="E33" s="218" t="s">
        <v>206</v>
      </c>
      <c r="F33" s="219" t="s">
        <v>207</v>
      </c>
      <c r="G33" s="230"/>
    </row>
    <row r="34" spans="3:7">
      <c r="C34" s="216">
        <f t="shared" si="0"/>
        <v>30</v>
      </c>
      <c r="D34" s="223" t="s">
        <v>44</v>
      </c>
      <c r="E34" s="218" t="s">
        <v>208</v>
      </c>
      <c r="F34" s="219" t="s">
        <v>209</v>
      </c>
      <c r="G34" s="230" t="s">
        <v>145</v>
      </c>
    </row>
    <row r="35" spans="3:7">
      <c r="C35" s="216">
        <f t="shared" si="0"/>
        <v>31</v>
      </c>
      <c r="D35" s="223" t="s">
        <v>44</v>
      </c>
      <c r="E35" s="218" t="s">
        <v>210</v>
      </c>
      <c r="F35" s="219" t="s">
        <v>211</v>
      </c>
      <c r="G35" s="230" t="s">
        <v>145</v>
      </c>
    </row>
    <row r="36" spans="3:7">
      <c r="C36" s="216">
        <f t="shared" si="0"/>
        <v>32</v>
      </c>
      <c r="D36" s="224"/>
      <c r="E36" s="218" t="s">
        <v>212</v>
      </c>
      <c r="F36" s="219" t="s">
        <v>213</v>
      </c>
      <c r="G36" s="230" t="s">
        <v>145</v>
      </c>
    </row>
    <row r="37" spans="3:7" ht="30" customHeight="1">
      <c r="C37" s="216">
        <f t="shared" si="0"/>
        <v>33</v>
      </c>
      <c r="D37" s="216"/>
      <c r="E37" s="218" t="s">
        <v>214</v>
      </c>
      <c r="F37" s="219" t="s">
        <v>215</v>
      </c>
      <c r="G37" s="230" t="s">
        <v>145</v>
      </c>
    </row>
  </sheetData>
  <autoFilter ref="C4:G37"/>
  <mergeCells count="6">
    <mergeCell ref="D23:D25"/>
    <mergeCell ref="D32:D33"/>
    <mergeCell ref="D26:D31"/>
    <mergeCell ref="C2:G2"/>
    <mergeCell ref="D16:D19"/>
    <mergeCell ref="D5:D15"/>
  </mergeCells>
  <dataValidations count="1">
    <dataValidation type="list" allowBlank="1" showInputMessage="1" showErrorMessage="1" sqref="G5:G37">
      <formula1>"要,不要"</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showGridLines="0" zoomScale="85" zoomScaleNormal="85" workbookViewId="0">
      <pane xSplit="2" ySplit="6" topLeftCell="C7" activePane="bottomRight" state="frozen"/>
      <selection activeCell="J3" sqref="J3"/>
      <selection pane="topRight" activeCell="J3" sqref="J3"/>
      <selection pane="bottomLeft" activeCell="J3" sqref="J3"/>
      <selection pane="bottomRight"/>
    </sheetView>
  </sheetViews>
  <sheetFormatPr defaultRowHeight="13"/>
  <cols>
    <col min="1" max="2" width="22.08984375" style="296" bestFit="1" customWidth="1"/>
    <col min="3" max="11" width="11.54296875" style="296" customWidth="1"/>
    <col min="12" max="12" width="17.90625" style="296" customWidth="1"/>
  </cols>
  <sheetData>
    <row r="1" spans="1:13" s="88" customFormat="1" ht="13.75" customHeight="1" thickBot="1"/>
    <row r="2" spans="1:13" s="65" customFormat="1" ht="37.4" customHeight="1" thickBot="1">
      <c r="A2" s="315" t="str">
        <f ca="1">見積総額!B2&amp;"　" &amp; RIGHT(CELL("filename", A1), LEN(CELL("filename", A1))-FIND("]",CELL("filename", A1)))</f>
        <v>Sample Project　スケジュール</v>
      </c>
      <c r="B2" s="313"/>
      <c r="C2" s="313"/>
      <c r="D2" s="313"/>
      <c r="E2" s="313"/>
      <c r="F2" s="313"/>
      <c r="G2" s="313"/>
      <c r="H2" s="313"/>
      <c r="I2" s="313"/>
      <c r="J2" s="313"/>
      <c r="K2" s="313"/>
      <c r="L2" s="314"/>
    </row>
    <row r="3" spans="1:13" ht="15" customHeight="1">
      <c r="L3" s="68" t="s">
        <v>216</v>
      </c>
      <c r="M3" s="68"/>
    </row>
    <row r="4" spans="1:13" ht="13.75" customHeight="1" thickBot="1"/>
    <row r="5" spans="1:13" ht="13.75" customHeight="1" thickBot="1">
      <c r="A5" s="380"/>
      <c r="B5" s="386"/>
      <c r="C5" s="382"/>
      <c r="D5" s="313"/>
      <c r="E5" s="313"/>
      <c r="F5" s="313"/>
      <c r="G5" s="313"/>
      <c r="H5" s="313"/>
      <c r="I5" s="313"/>
      <c r="J5" s="313"/>
      <c r="K5" s="314"/>
      <c r="L5" s="384"/>
    </row>
    <row r="6" spans="1:13" ht="15" customHeight="1" thickBot="1">
      <c r="A6" s="354"/>
      <c r="B6" s="342"/>
      <c r="C6" s="111"/>
      <c r="D6" s="111"/>
      <c r="E6" s="111"/>
      <c r="F6" s="111"/>
      <c r="G6" s="111"/>
      <c r="H6" s="111"/>
      <c r="I6" s="111"/>
      <c r="J6" s="111"/>
      <c r="K6" s="112"/>
      <c r="L6" s="385"/>
    </row>
    <row r="7" spans="1:13" ht="27.65" customHeight="1">
      <c r="A7" s="135"/>
      <c r="B7" s="136"/>
      <c r="C7" s="113"/>
      <c r="D7" s="114"/>
      <c r="E7" s="114"/>
      <c r="F7" s="114"/>
      <c r="G7" s="114"/>
      <c r="H7" s="114"/>
      <c r="I7" s="115"/>
      <c r="J7" s="113"/>
      <c r="K7" s="116"/>
      <c r="L7" s="121"/>
    </row>
    <row r="8" spans="1:13" ht="27.65" customHeight="1">
      <c r="A8" s="138"/>
      <c r="B8" s="286"/>
      <c r="C8" s="122"/>
      <c r="D8" s="123"/>
      <c r="E8" s="123"/>
      <c r="F8" s="123"/>
      <c r="G8" s="123"/>
      <c r="H8" s="123"/>
      <c r="I8" s="124"/>
      <c r="J8" s="122"/>
      <c r="K8" s="125"/>
      <c r="L8" s="105"/>
    </row>
    <row r="9" spans="1:13" ht="27.65" customHeight="1">
      <c r="A9" s="138"/>
      <c r="B9" s="179"/>
      <c r="C9" s="122"/>
      <c r="D9" s="123"/>
      <c r="E9" s="123"/>
      <c r="F9" s="123"/>
      <c r="G9" s="123"/>
      <c r="H9" s="123"/>
      <c r="I9" s="124"/>
      <c r="J9" s="122"/>
      <c r="K9" s="125"/>
      <c r="L9" s="105"/>
    </row>
    <row r="10" spans="1:13" ht="27.65" customHeight="1">
      <c r="A10" s="140"/>
      <c r="B10" s="137"/>
      <c r="C10" s="117"/>
      <c r="D10" s="118"/>
      <c r="E10" s="118"/>
      <c r="F10" s="118"/>
      <c r="G10" s="118"/>
      <c r="H10" s="118"/>
      <c r="I10" s="119"/>
      <c r="J10" s="117"/>
      <c r="K10" s="120"/>
      <c r="L10" s="105"/>
    </row>
    <row r="11" spans="1:13" ht="27.65" customHeight="1">
      <c r="A11" s="383"/>
      <c r="B11" s="350"/>
      <c r="C11" s="104"/>
      <c r="D11" s="106"/>
      <c r="E11" s="106"/>
      <c r="F11" s="278"/>
      <c r="G11" s="106"/>
      <c r="H11" s="106"/>
      <c r="I11" s="110"/>
      <c r="J11" s="104"/>
      <c r="K11" s="105"/>
      <c r="L11" s="105"/>
    </row>
    <row r="12" spans="1:13" ht="27.65" customHeight="1">
      <c r="A12" s="383"/>
      <c r="B12" s="350"/>
      <c r="C12" s="104"/>
      <c r="D12" s="106"/>
      <c r="E12" s="106"/>
      <c r="F12" s="278"/>
      <c r="G12" s="106"/>
      <c r="H12" s="106"/>
      <c r="I12" s="110"/>
      <c r="J12" s="104"/>
      <c r="K12" s="105"/>
      <c r="L12" s="105"/>
    </row>
    <row r="13" spans="1:13" ht="27.65" customHeight="1">
      <c r="A13" s="138"/>
      <c r="B13" s="139"/>
      <c r="C13" s="122"/>
      <c r="D13" s="123"/>
      <c r="E13" s="123"/>
      <c r="F13" s="106"/>
      <c r="G13" s="123"/>
      <c r="H13" s="123"/>
      <c r="I13" s="124"/>
      <c r="J13" s="132"/>
      <c r="K13" s="133"/>
      <c r="L13" s="125"/>
    </row>
    <row r="14" spans="1:13" ht="27.65" customHeight="1">
      <c r="A14" s="140"/>
      <c r="B14" s="141"/>
      <c r="C14" s="117"/>
      <c r="D14" s="118"/>
      <c r="E14" s="118"/>
      <c r="F14" s="106"/>
      <c r="G14" s="118"/>
      <c r="H14" s="118"/>
      <c r="I14" s="119"/>
      <c r="J14" s="134"/>
      <c r="K14" s="142"/>
      <c r="L14" s="120"/>
    </row>
    <row r="15" spans="1:13" ht="27.65" customHeight="1" thickBot="1">
      <c r="A15" s="381"/>
      <c r="B15" s="326"/>
      <c r="C15" s="126"/>
      <c r="D15" s="127"/>
      <c r="E15" s="127"/>
      <c r="F15" s="279"/>
      <c r="G15" s="127"/>
      <c r="H15" s="127"/>
      <c r="I15" s="128"/>
      <c r="J15" s="129"/>
      <c r="K15" s="130"/>
      <c r="L15" s="131"/>
    </row>
  </sheetData>
  <mergeCells count="8">
    <mergeCell ref="A5:A6"/>
    <mergeCell ref="A2:L2"/>
    <mergeCell ref="A15:B15"/>
    <mergeCell ref="C5:K5"/>
    <mergeCell ref="A11:B11"/>
    <mergeCell ref="L5:L6"/>
    <mergeCell ref="B5:B6"/>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シート説明</vt:lpstr>
      <vt:lpstr>見積総額</vt:lpstr>
      <vt:lpstr>対応方針</vt:lpstr>
      <vt:lpstr>前提条件</vt:lpstr>
      <vt:lpstr>システム構成図</vt:lpstr>
      <vt:lpstr>詳細設計～システムテスト 本番移行</vt:lpstr>
      <vt:lpstr>詳細設計～システムテスト 本番移行_2</vt:lpstr>
      <vt:lpstr>難易度別標準工数</vt:lpstr>
      <vt:lpstr>体制</vt:lpstr>
      <vt:lpstr>成果物</vt:lpstr>
      <vt:lpstr>スケジュール</vt:lpstr>
      <vt:lpstr>'詳細設計～システムテスト 本番移行'!Print_Area</vt:lpstr>
      <vt:lpstr>'詳細設計～システムテスト 本番移行_2'!Print_Area</vt:lpstr>
      <vt:lpstr>'詳細設計～システムテスト 本番移行'!Print_Titles</vt:lpstr>
      <vt:lpstr>'詳細設計～システムテスト 本番移行_2'!Print_Titles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Tatsuhiko Nishii(SBD)</dc:creator>
  <cp:lastModifiedBy>BCMM146</cp:lastModifiedBy>
  <dcterms:created xsi:type="dcterms:W3CDTF">2025-11-07T05:55:32Z</dcterms:created>
  <dcterms:modified xsi:type="dcterms:W3CDTF">2026-08-18T03:04:49Z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591c11-d1d1-4308-8bc2-d416a08e58f2_Enabled">
    <vt:lpwstr>true</vt:lpwstr>
  </property>
  <property fmtid="{D5CDD505-2E9C-101B-9397-08002B2CF9AE}" pid="3" name="MSIP_Label_4d591c11-d1d1-4308-8bc2-d416a08e58f2_SetDate">
    <vt:lpwstr>2025-11-07T05:58:55Z</vt:lpwstr>
  </property>
  <property fmtid="{D5CDD505-2E9C-101B-9397-08002B2CF9AE}" pid="4" name="MSIP_Label_4d591c11-d1d1-4308-8bc2-d416a08e58f2_Method">
    <vt:lpwstr>Standard</vt:lpwstr>
  </property>
  <property fmtid="{D5CDD505-2E9C-101B-9397-08002B2CF9AE}" pid="5" name="MSIP_Label_4d591c11-d1d1-4308-8bc2-d416a08e58f2_Name">
    <vt:lpwstr>Internal</vt:lpwstr>
  </property>
  <property fmtid="{D5CDD505-2E9C-101B-9397-08002B2CF9AE}" pid="6" name="MSIP_Label_4d591c11-d1d1-4308-8bc2-d416a08e58f2_SiteId">
    <vt:lpwstr>18872657-15e1-4db7-a75c-77b60bc5441f</vt:lpwstr>
  </property>
  <property fmtid="{D5CDD505-2E9C-101B-9397-08002B2CF9AE}" pid="7" name="MSIP_Label_4d591c11-d1d1-4308-8bc2-d416a08e58f2_ActionId">
    <vt:lpwstr>70b5856e-0b4a-4e96-a07d-1b8ac59a2a1e</vt:lpwstr>
  </property>
  <property fmtid="{D5CDD505-2E9C-101B-9397-08002B2CF9AE}" pid="8" name="MSIP_Label_4d591c11-d1d1-4308-8bc2-d416a08e58f2_ContentBits">
    <vt:lpwstr>0</vt:lpwstr>
  </property>
  <property fmtid="{D5CDD505-2E9C-101B-9397-08002B2CF9AE}" pid="9" name="MSIP_Label_4d591c11-d1d1-4308-8bc2-d416a08e58f2_Tag">
    <vt:lpwstr>10, 3, 0, 1</vt:lpwstr>
  </property>
  <property fmtid="{D5CDD505-2E9C-101B-9397-08002B2CF9AE}" pid="10" name="ContentTypeId">
    <vt:lpwstr>0x010100A7AC4059F6AC854CA681E4A63CC62517</vt:lpwstr>
  </property>
  <property fmtid="{D5CDD505-2E9C-101B-9397-08002B2CF9AE}" pid="11" name="MediaServiceImageTags">
    <vt:lpwstr/>
  </property>
</Properties>
</file>